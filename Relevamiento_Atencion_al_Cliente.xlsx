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usar" sheetId="1" state="visible" r:id="rId1"/>
    <sheet name="Resumen" sheetId="2" state="visible" r:id="rId2"/>
    <sheet name="Energía" sheetId="3" state="visible" r:id="rId3"/>
    <sheet name="Agua" sheetId="4" state="visible" r:id="rId4"/>
    <sheet name="TIC" sheetId="5" state="visible" r:id="rId5"/>
    <sheet name="Movilcoop" sheetId="6" state="visible" r:id="rId6"/>
    <sheet name="Otros servicios" sheetId="7" state="visible" r:id="rId7"/>
    <sheet name="General y administrativo" sheetId="8" state="visible" r:id="rId8"/>
    <sheet name="Criterios comunes" sheetId="9" state="visible" r:id="rId9"/>
    <sheet name="Pendientes y contradicciones" sheetId="10" state="visible" r:id="rId10"/>
  </sheets>
  <definedNames>
    <definedName name="_xlnm._FilterDatabase" localSheetId="2" hidden="1">'Energía'!$A$1:$L$25</definedName>
    <definedName name="_xlnm._FilterDatabase" localSheetId="3" hidden="1">'Agua'!$A$1:$L$19</definedName>
    <definedName name="_xlnm._FilterDatabase" localSheetId="4" hidden="1">'TIC'!$A$1:$L$22</definedName>
    <definedName name="_xlnm._FilterDatabase" localSheetId="5" hidden="1">'Movilcoop'!$A$1:$L$19</definedName>
    <definedName name="_xlnm._FilterDatabase" localSheetId="6" hidden="1">'Otros servicios'!$A$1:$L$21</definedName>
    <definedName name="_xlnm._FilterDatabase" localSheetId="7" hidden="1">'General y administrativo'!$A$1:$L$17</definedName>
    <definedName name="_xlnm._FilterDatabase" localSheetId="9" hidden="1">'Pendientes y contradicciones'!$A$1:$I$44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name val="Arial"/>
      <i val="1"/>
      <sz val="10"/>
    </font>
    <font>
      <name val="Arial"/>
      <b val="1"/>
      <sz val="11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Relevamiento de gestiones – Atención al Cliente</t>
        </is>
      </c>
    </row>
    <row r="2">
      <c r="A2" s="2" t="inlineStr">
        <is>
          <t>Objetivo</t>
        </is>
      </c>
      <c r="B2" s="3" t="inlineStr">
        <is>
          <t>Revisar con Ventas, Call Center y Mesa de Informes todo lo que se puede gestionar, sumar información nueva y unificar criterios. Solo información, sin el paso a paso del sistema.</t>
        </is>
      </c>
    </row>
    <row r="3">
      <c r="A3" s="2" t="inlineStr">
        <is>
          <t>Fuentes</t>
        </is>
      </c>
      <c r="B3" s="3" t="inlineStr">
        <is>
          <t>PG 02 Trámites de atención al cliente; IO 02.01 Servicios de energía; IO 02.02 Servicios de agua; IO 02.03 Servicios de TIC.</t>
        </is>
      </c>
    </row>
    <row r="4">
      <c r="A4" s="2" t="inlineStr">
        <is>
          <t>Hojas</t>
        </is>
      </c>
      <c r="B4" s="3" t="inlineStr">
        <is>
          <t>Una hoja por servicio (Energía, Agua, TIC, Movilcoop, Otros servicios, General y administrativo) + Criterios comunes + Pendientes y contradicciones + Resumen.</t>
        </is>
      </c>
    </row>
    <row r="5">
      <c r="A5" s="2" t="inlineStr">
        <is>
          <t>Qué completar</t>
        </is>
      </c>
      <c r="B5" s="3" t="inlineStr">
        <is>
          <t>Solo las celdas en amarillo: columnas de validación de cada sector (lista desplegable), Observaciones / info nueva, y las filas amarillas vacías al final de cada hoja para agregar gestiones que falten (ponerles un ID, por ej. E15, para que cuenten en el Resumen).</t>
        </is>
      </c>
    </row>
    <row r="6">
      <c r="A6" s="2" t="inlineStr">
        <is>
          <t>Estados de validación</t>
        </is>
      </c>
      <c r="B6" s="3" t="inlineStr">
        <is>
          <t>Vigente = así se hace hoy · Se hace distinto = anotar cómo en Observaciones · No lo sabíamos = el sector no tenía esta info · No aplica = el sector no la gestiona · A definir = hay que decidir el criterio.</t>
        </is>
      </c>
    </row>
    <row r="7">
      <c r="A7" s="2" t="inlineStr">
        <is>
          <t>Ejemplo de fila completada</t>
        </is>
      </c>
      <c r="B7" s="3" t="inlineStr">
        <is>
          <t>E10 Baja voluntaria → Validación Ventas: Vigente · Validación Call Center: No lo sabíamos · Validación Mesa de Informes: No aplica · Observaciones: 'Call Center informaba que podía pedirla cualquier familiar; unificar: solo titular o con autorización.'</t>
        </is>
      </c>
    </row>
    <row r="8">
      <c r="A8" s="2" t="inlineStr">
        <is>
          <t>Pendientes y contradicciones</t>
        </is>
      </c>
      <c r="B8" s="3" t="inlineStr">
        <is>
          <t>Lista de huecos y diferencias detectadas en los documentos. Completar Quién define, Estado (Abierto / En revisión / Resuelto) y Resolución.</t>
        </is>
      </c>
    </row>
    <row r="9">
      <c r="A9" s="2" t="inlineStr">
        <is>
          <t>Siguiente paso</t>
        </is>
      </c>
      <c r="B9" s="3" t="inlineStr">
        <is>
          <t>Con todo validado, se arma la guía de consulta rápida para los tres sectores.</t>
        </is>
      </c>
    </row>
    <row r="11">
      <c r="A11" s="4" t="inlineStr">
        <is>
          <t>Celda para completar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Avance de la revisión por sector</t>
        </is>
      </c>
    </row>
    <row r="2">
      <c r="A2" s="6" t="inlineStr">
        <is>
          <t>Se actualiza solo a medida que cada sector completa sus columnas de validación.</t>
        </is>
      </c>
    </row>
    <row r="4">
      <c r="A4" s="7" t="inlineStr">
        <is>
          <t>Sector: Ventas</t>
        </is>
      </c>
    </row>
    <row r="5">
      <c r="A5" s="8" t="inlineStr">
        <is>
          <t>Servicio</t>
        </is>
      </c>
      <c r="B5" s="8" t="inlineStr">
        <is>
          <t>Gestiones</t>
        </is>
      </c>
      <c r="C5" s="8" t="inlineStr">
        <is>
          <t>Vigente</t>
        </is>
      </c>
      <c r="D5" s="8" t="inlineStr">
        <is>
          <t>Se hace distinto</t>
        </is>
      </c>
      <c r="E5" s="8" t="inlineStr">
        <is>
          <t>No lo sabíamos</t>
        </is>
      </c>
      <c r="F5" s="8" t="inlineStr">
        <is>
          <t>No aplica</t>
        </is>
      </c>
      <c r="G5" s="8" t="inlineStr">
        <is>
          <t>A definir</t>
        </is>
      </c>
      <c r="H5" s="8" t="inlineStr">
        <is>
          <t>Sin revisar</t>
        </is>
      </c>
    </row>
    <row r="6">
      <c r="A6" s="9" t="inlineStr">
        <is>
          <t>Energía</t>
        </is>
      </c>
      <c r="B6" s="9">
        <f>COUNTA('Energía'!$A$2:$A$25)</f>
        <v/>
      </c>
      <c r="C6" s="9">
        <f>COUNTIF('Energía'!$I$2:$I$25,"Vigente")</f>
        <v/>
      </c>
      <c r="D6" s="9">
        <f>COUNTIF('Energía'!$I$2:$I$25,"Se hace distinto")</f>
        <v/>
      </c>
      <c r="E6" s="9">
        <f>COUNTIF('Energía'!$I$2:$I$25,"No lo sabíamos")</f>
        <v/>
      </c>
      <c r="F6" s="9">
        <f>COUNTIF('Energía'!$I$2:$I$25,"No aplica")</f>
        <v/>
      </c>
      <c r="G6" s="9">
        <f>COUNTIF('Energía'!$I$2:$I$25,"A definir")</f>
        <v/>
      </c>
      <c r="H6" s="9">
        <f>B6-SUM(C6:G6)</f>
        <v/>
      </c>
    </row>
    <row r="7">
      <c r="A7" s="9" t="inlineStr">
        <is>
          <t>Agua</t>
        </is>
      </c>
      <c r="B7" s="9">
        <f>COUNTA('Agua'!$A$2:$A$19)</f>
        <v/>
      </c>
      <c r="C7" s="9">
        <f>COUNTIF('Agua'!$I$2:$I$19,"Vigente")</f>
        <v/>
      </c>
      <c r="D7" s="9">
        <f>COUNTIF('Agua'!$I$2:$I$19,"Se hace distinto")</f>
        <v/>
      </c>
      <c r="E7" s="9">
        <f>COUNTIF('Agua'!$I$2:$I$19,"No lo sabíamos")</f>
        <v/>
      </c>
      <c r="F7" s="9">
        <f>COUNTIF('Agua'!$I$2:$I$19,"No aplica")</f>
        <v/>
      </c>
      <c r="G7" s="9">
        <f>COUNTIF('Agua'!$I$2:$I$19,"A definir")</f>
        <v/>
      </c>
      <c r="H7" s="9">
        <f>B7-SUM(C7:G7)</f>
        <v/>
      </c>
    </row>
    <row r="8">
      <c r="A8" s="9" t="inlineStr">
        <is>
          <t>TIC</t>
        </is>
      </c>
      <c r="B8" s="9">
        <f>COUNTA('TIC'!$A$2:$A$22)</f>
        <v/>
      </c>
      <c r="C8" s="9">
        <f>COUNTIF('TIC'!$I$2:$I$22,"Vigente")</f>
        <v/>
      </c>
      <c r="D8" s="9">
        <f>COUNTIF('TIC'!$I$2:$I$22,"Se hace distinto")</f>
        <v/>
      </c>
      <c r="E8" s="9">
        <f>COUNTIF('TIC'!$I$2:$I$22,"No lo sabíamos")</f>
        <v/>
      </c>
      <c r="F8" s="9">
        <f>COUNTIF('TIC'!$I$2:$I$22,"No aplica")</f>
        <v/>
      </c>
      <c r="G8" s="9">
        <f>COUNTIF('TIC'!$I$2:$I$22,"A definir")</f>
        <v/>
      </c>
      <c r="H8" s="9">
        <f>B8-SUM(C8:G8)</f>
        <v/>
      </c>
    </row>
    <row r="9">
      <c r="A9" s="9" t="inlineStr">
        <is>
          <t>Movilcoop</t>
        </is>
      </c>
      <c r="B9" s="9">
        <f>COUNTA('Movilcoop'!$A$2:$A$19)</f>
        <v/>
      </c>
      <c r="C9" s="9">
        <f>COUNTIF('Movilcoop'!$I$2:$I$19,"Vigente")</f>
        <v/>
      </c>
      <c r="D9" s="9">
        <f>COUNTIF('Movilcoop'!$I$2:$I$19,"Se hace distinto")</f>
        <v/>
      </c>
      <c r="E9" s="9">
        <f>COUNTIF('Movilcoop'!$I$2:$I$19,"No lo sabíamos")</f>
        <v/>
      </c>
      <c r="F9" s="9">
        <f>COUNTIF('Movilcoop'!$I$2:$I$19,"No aplica")</f>
        <v/>
      </c>
      <c r="G9" s="9">
        <f>COUNTIF('Movilcoop'!$I$2:$I$19,"A definir")</f>
        <v/>
      </c>
      <c r="H9" s="9">
        <f>B9-SUM(C9:G9)</f>
        <v/>
      </c>
    </row>
    <row r="10">
      <c r="A10" s="9" t="inlineStr">
        <is>
          <t>Otros servicios</t>
        </is>
      </c>
      <c r="B10" s="9">
        <f>COUNTA('Otros servicios'!$A$2:$A$21)</f>
        <v/>
      </c>
      <c r="C10" s="9">
        <f>COUNTIF('Otros servicios'!$I$2:$I$21,"Vigente")</f>
        <v/>
      </c>
      <c r="D10" s="9">
        <f>COUNTIF('Otros servicios'!$I$2:$I$21,"Se hace distinto")</f>
        <v/>
      </c>
      <c r="E10" s="9">
        <f>COUNTIF('Otros servicios'!$I$2:$I$21,"No lo sabíamos")</f>
        <v/>
      </c>
      <c r="F10" s="9">
        <f>COUNTIF('Otros servicios'!$I$2:$I$21,"No aplica")</f>
        <v/>
      </c>
      <c r="G10" s="9">
        <f>COUNTIF('Otros servicios'!$I$2:$I$21,"A definir")</f>
        <v/>
      </c>
      <c r="H10" s="9">
        <f>B10-SUM(C10:G10)</f>
        <v/>
      </c>
    </row>
    <row r="11">
      <c r="A11" s="9" t="inlineStr">
        <is>
          <t>General y administrativo</t>
        </is>
      </c>
      <c r="B11" s="9">
        <f>COUNTA('General y administrativo'!$A$2:$A$17)</f>
        <v/>
      </c>
      <c r="C11" s="9">
        <f>COUNTIF('General y administrativo'!$I$2:$I$17,"Vigente")</f>
        <v/>
      </c>
      <c r="D11" s="9">
        <f>COUNTIF('General y administrativo'!$I$2:$I$17,"Se hace distinto")</f>
        <v/>
      </c>
      <c r="E11" s="9">
        <f>COUNTIF('General y administrativo'!$I$2:$I$17,"No lo sabíamos")</f>
        <v/>
      </c>
      <c r="F11" s="9">
        <f>COUNTIF('General y administrativo'!$I$2:$I$17,"No aplica")</f>
        <v/>
      </c>
      <c r="G11" s="9">
        <f>COUNTIF('General y administrativo'!$I$2:$I$17,"A definir")</f>
        <v/>
      </c>
      <c r="H11" s="9">
        <f>B11-SUM(C11:G11)</f>
        <v/>
      </c>
    </row>
    <row r="12">
      <c r="A12" s="10" t="inlineStr">
        <is>
          <t>Total</t>
        </is>
      </c>
      <c r="B12" s="10">
        <f>SUM(B6:B11)</f>
        <v/>
      </c>
      <c r="C12" s="10">
        <f>SUM(C6:C11)</f>
        <v/>
      </c>
      <c r="D12" s="10">
        <f>SUM(D6:D11)</f>
        <v/>
      </c>
      <c r="E12" s="10">
        <f>SUM(E6:E11)</f>
        <v/>
      </c>
      <c r="F12" s="10">
        <f>SUM(F6:F11)</f>
        <v/>
      </c>
      <c r="G12" s="10">
        <f>SUM(G6:G11)</f>
        <v/>
      </c>
      <c r="H12" s="10">
        <f>SUM(H6:H11)</f>
        <v/>
      </c>
    </row>
    <row r="14">
      <c r="A14" s="7" t="inlineStr">
        <is>
          <t>Sector: Call Center</t>
        </is>
      </c>
    </row>
    <row r="15">
      <c r="A15" s="8" t="inlineStr">
        <is>
          <t>Servicio</t>
        </is>
      </c>
      <c r="B15" s="8" t="inlineStr">
        <is>
          <t>Gestiones</t>
        </is>
      </c>
      <c r="C15" s="8" t="inlineStr">
        <is>
          <t>Vigente</t>
        </is>
      </c>
      <c r="D15" s="8" t="inlineStr">
        <is>
          <t>Se hace distinto</t>
        </is>
      </c>
      <c r="E15" s="8" t="inlineStr">
        <is>
          <t>No lo sabíamos</t>
        </is>
      </c>
      <c r="F15" s="8" t="inlineStr">
        <is>
          <t>No aplica</t>
        </is>
      </c>
      <c r="G15" s="8" t="inlineStr">
        <is>
          <t>A definir</t>
        </is>
      </c>
      <c r="H15" s="8" t="inlineStr">
        <is>
          <t>Sin revisar</t>
        </is>
      </c>
    </row>
    <row r="16">
      <c r="A16" s="9" t="inlineStr">
        <is>
          <t>Energía</t>
        </is>
      </c>
      <c r="B16" s="9">
        <f>COUNTA('Energía'!$A$2:$A$25)</f>
        <v/>
      </c>
      <c r="C16" s="9">
        <f>COUNTIF('Energía'!$J$2:$J$25,"Vigente")</f>
        <v/>
      </c>
      <c r="D16" s="9">
        <f>COUNTIF('Energía'!$J$2:$J$25,"Se hace distinto")</f>
        <v/>
      </c>
      <c r="E16" s="9">
        <f>COUNTIF('Energía'!$J$2:$J$25,"No lo sabíamos")</f>
        <v/>
      </c>
      <c r="F16" s="9">
        <f>COUNTIF('Energía'!$J$2:$J$25,"No aplica")</f>
        <v/>
      </c>
      <c r="G16" s="9">
        <f>COUNTIF('Energía'!$J$2:$J$25,"A definir")</f>
        <v/>
      </c>
      <c r="H16" s="9">
        <f>B16-SUM(C16:G16)</f>
        <v/>
      </c>
    </row>
    <row r="17">
      <c r="A17" s="9" t="inlineStr">
        <is>
          <t>Agua</t>
        </is>
      </c>
      <c r="B17" s="9">
        <f>COUNTA('Agua'!$A$2:$A$19)</f>
        <v/>
      </c>
      <c r="C17" s="9">
        <f>COUNTIF('Agua'!$J$2:$J$19,"Vigente")</f>
        <v/>
      </c>
      <c r="D17" s="9">
        <f>COUNTIF('Agua'!$J$2:$J$19,"Se hace distinto")</f>
        <v/>
      </c>
      <c r="E17" s="9">
        <f>COUNTIF('Agua'!$J$2:$J$19,"No lo sabíamos")</f>
        <v/>
      </c>
      <c r="F17" s="9">
        <f>COUNTIF('Agua'!$J$2:$J$19,"No aplica")</f>
        <v/>
      </c>
      <c r="G17" s="9">
        <f>COUNTIF('Agua'!$J$2:$J$19,"A definir")</f>
        <v/>
      </c>
      <c r="H17" s="9">
        <f>B17-SUM(C17:G17)</f>
        <v/>
      </c>
    </row>
    <row r="18">
      <c r="A18" s="9" t="inlineStr">
        <is>
          <t>TIC</t>
        </is>
      </c>
      <c r="B18" s="9">
        <f>COUNTA('TIC'!$A$2:$A$22)</f>
        <v/>
      </c>
      <c r="C18" s="9">
        <f>COUNTIF('TIC'!$J$2:$J$22,"Vigente")</f>
        <v/>
      </c>
      <c r="D18" s="9">
        <f>COUNTIF('TIC'!$J$2:$J$22,"Se hace distinto")</f>
        <v/>
      </c>
      <c r="E18" s="9">
        <f>COUNTIF('TIC'!$J$2:$J$22,"No lo sabíamos")</f>
        <v/>
      </c>
      <c r="F18" s="9">
        <f>COUNTIF('TIC'!$J$2:$J$22,"No aplica")</f>
        <v/>
      </c>
      <c r="G18" s="9">
        <f>COUNTIF('TIC'!$J$2:$J$22,"A definir")</f>
        <v/>
      </c>
      <c r="H18" s="9">
        <f>B18-SUM(C18:G18)</f>
        <v/>
      </c>
    </row>
    <row r="19">
      <c r="A19" s="9" t="inlineStr">
        <is>
          <t>Movilcoop</t>
        </is>
      </c>
      <c r="B19" s="9">
        <f>COUNTA('Movilcoop'!$A$2:$A$19)</f>
        <v/>
      </c>
      <c r="C19" s="9">
        <f>COUNTIF('Movilcoop'!$J$2:$J$19,"Vigente")</f>
        <v/>
      </c>
      <c r="D19" s="9">
        <f>COUNTIF('Movilcoop'!$J$2:$J$19,"Se hace distinto")</f>
        <v/>
      </c>
      <c r="E19" s="9">
        <f>COUNTIF('Movilcoop'!$J$2:$J$19,"No lo sabíamos")</f>
        <v/>
      </c>
      <c r="F19" s="9">
        <f>COUNTIF('Movilcoop'!$J$2:$J$19,"No aplica")</f>
        <v/>
      </c>
      <c r="G19" s="9">
        <f>COUNTIF('Movilcoop'!$J$2:$J$19,"A definir")</f>
        <v/>
      </c>
      <c r="H19" s="9">
        <f>B19-SUM(C19:G19)</f>
        <v/>
      </c>
    </row>
    <row r="20">
      <c r="A20" s="9" t="inlineStr">
        <is>
          <t>Otros servicios</t>
        </is>
      </c>
      <c r="B20" s="9">
        <f>COUNTA('Otros servicios'!$A$2:$A$21)</f>
        <v/>
      </c>
      <c r="C20" s="9">
        <f>COUNTIF('Otros servicios'!$J$2:$J$21,"Vigente")</f>
        <v/>
      </c>
      <c r="D20" s="9">
        <f>COUNTIF('Otros servicios'!$J$2:$J$21,"Se hace distinto")</f>
        <v/>
      </c>
      <c r="E20" s="9">
        <f>COUNTIF('Otros servicios'!$J$2:$J$21,"No lo sabíamos")</f>
        <v/>
      </c>
      <c r="F20" s="9">
        <f>COUNTIF('Otros servicios'!$J$2:$J$21,"No aplica")</f>
        <v/>
      </c>
      <c r="G20" s="9">
        <f>COUNTIF('Otros servicios'!$J$2:$J$21,"A definir")</f>
        <v/>
      </c>
      <c r="H20" s="9">
        <f>B20-SUM(C20:G20)</f>
        <v/>
      </c>
    </row>
    <row r="21">
      <c r="A21" s="9" t="inlineStr">
        <is>
          <t>General y administrativo</t>
        </is>
      </c>
      <c r="B21" s="9">
        <f>COUNTA('General y administrativo'!$A$2:$A$17)</f>
        <v/>
      </c>
      <c r="C21" s="9">
        <f>COUNTIF('General y administrativo'!$J$2:$J$17,"Vigente")</f>
        <v/>
      </c>
      <c r="D21" s="9">
        <f>COUNTIF('General y administrativo'!$J$2:$J$17,"Se hace distinto")</f>
        <v/>
      </c>
      <c r="E21" s="9">
        <f>COUNTIF('General y administrativo'!$J$2:$J$17,"No lo sabíamos")</f>
        <v/>
      </c>
      <c r="F21" s="9">
        <f>COUNTIF('General y administrativo'!$J$2:$J$17,"No aplica")</f>
        <v/>
      </c>
      <c r="G21" s="9">
        <f>COUNTIF('General y administrativo'!$J$2:$J$17,"A definir")</f>
        <v/>
      </c>
      <c r="H21" s="9">
        <f>B21-SUM(C21:G21)</f>
        <v/>
      </c>
    </row>
    <row r="22">
      <c r="A22" s="10" t="inlineStr">
        <is>
          <t>Total</t>
        </is>
      </c>
      <c r="B22" s="10">
        <f>SUM(B16:B21)</f>
        <v/>
      </c>
      <c r="C22" s="10">
        <f>SUM(C16:C21)</f>
        <v/>
      </c>
      <c r="D22" s="10">
        <f>SUM(D16:D21)</f>
        <v/>
      </c>
      <c r="E22" s="10">
        <f>SUM(E16:E21)</f>
        <v/>
      </c>
      <c r="F22" s="10">
        <f>SUM(F16:F21)</f>
        <v/>
      </c>
      <c r="G22" s="10">
        <f>SUM(G16:G21)</f>
        <v/>
      </c>
      <c r="H22" s="10">
        <f>SUM(H16:H21)</f>
        <v/>
      </c>
    </row>
    <row r="24">
      <c r="A24" s="7" t="inlineStr">
        <is>
          <t>Sector: Mesa de Informes</t>
        </is>
      </c>
    </row>
    <row r="25">
      <c r="A25" s="8" t="inlineStr">
        <is>
          <t>Servicio</t>
        </is>
      </c>
      <c r="B25" s="8" t="inlineStr">
        <is>
          <t>Gestiones</t>
        </is>
      </c>
      <c r="C25" s="8" t="inlineStr">
        <is>
          <t>Vigente</t>
        </is>
      </c>
      <c r="D25" s="8" t="inlineStr">
        <is>
          <t>Se hace distinto</t>
        </is>
      </c>
      <c r="E25" s="8" t="inlineStr">
        <is>
          <t>No lo sabíamos</t>
        </is>
      </c>
      <c r="F25" s="8" t="inlineStr">
        <is>
          <t>No aplica</t>
        </is>
      </c>
      <c r="G25" s="8" t="inlineStr">
        <is>
          <t>A definir</t>
        </is>
      </c>
      <c r="H25" s="8" t="inlineStr">
        <is>
          <t>Sin revisar</t>
        </is>
      </c>
    </row>
    <row r="26">
      <c r="A26" s="9" t="inlineStr">
        <is>
          <t>Energía</t>
        </is>
      </c>
      <c r="B26" s="9">
        <f>COUNTA('Energía'!$A$2:$A$25)</f>
        <v/>
      </c>
      <c r="C26" s="9">
        <f>COUNTIF('Energía'!$K$2:$K$25,"Vigente")</f>
        <v/>
      </c>
      <c r="D26" s="9">
        <f>COUNTIF('Energía'!$K$2:$K$25,"Se hace distinto")</f>
        <v/>
      </c>
      <c r="E26" s="9">
        <f>COUNTIF('Energía'!$K$2:$K$25,"No lo sabíamos")</f>
        <v/>
      </c>
      <c r="F26" s="9">
        <f>COUNTIF('Energía'!$K$2:$K$25,"No aplica")</f>
        <v/>
      </c>
      <c r="G26" s="9">
        <f>COUNTIF('Energía'!$K$2:$K$25,"A definir")</f>
        <v/>
      </c>
      <c r="H26" s="9">
        <f>B26-SUM(C26:G26)</f>
        <v/>
      </c>
    </row>
    <row r="27">
      <c r="A27" s="9" t="inlineStr">
        <is>
          <t>Agua</t>
        </is>
      </c>
      <c r="B27" s="9">
        <f>COUNTA('Agua'!$A$2:$A$19)</f>
        <v/>
      </c>
      <c r="C27" s="9">
        <f>COUNTIF('Agua'!$K$2:$K$19,"Vigente")</f>
        <v/>
      </c>
      <c r="D27" s="9">
        <f>COUNTIF('Agua'!$K$2:$K$19,"Se hace distinto")</f>
        <v/>
      </c>
      <c r="E27" s="9">
        <f>COUNTIF('Agua'!$K$2:$K$19,"No lo sabíamos")</f>
        <v/>
      </c>
      <c r="F27" s="9">
        <f>COUNTIF('Agua'!$K$2:$K$19,"No aplica")</f>
        <v/>
      </c>
      <c r="G27" s="9">
        <f>COUNTIF('Agua'!$K$2:$K$19,"A definir")</f>
        <v/>
      </c>
      <c r="H27" s="9">
        <f>B27-SUM(C27:G27)</f>
        <v/>
      </c>
    </row>
    <row r="28">
      <c r="A28" s="9" t="inlineStr">
        <is>
          <t>TIC</t>
        </is>
      </c>
      <c r="B28" s="9">
        <f>COUNTA('TIC'!$A$2:$A$22)</f>
        <v/>
      </c>
      <c r="C28" s="9">
        <f>COUNTIF('TIC'!$K$2:$K$22,"Vigente")</f>
        <v/>
      </c>
      <c r="D28" s="9">
        <f>COUNTIF('TIC'!$K$2:$K$22,"Se hace distinto")</f>
        <v/>
      </c>
      <c r="E28" s="9">
        <f>COUNTIF('TIC'!$K$2:$K$22,"No lo sabíamos")</f>
        <v/>
      </c>
      <c r="F28" s="9">
        <f>COUNTIF('TIC'!$K$2:$K$22,"No aplica")</f>
        <v/>
      </c>
      <c r="G28" s="9">
        <f>COUNTIF('TIC'!$K$2:$K$22,"A definir")</f>
        <v/>
      </c>
      <c r="H28" s="9">
        <f>B28-SUM(C28:G28)</f>
        <v/>
      </c>
    </row>
    <row r="29">
      <c r="A29" s="9" t="inlineStr">
        <is>
          <t>Movilcoop</t>
        </is>
      </c>
      <c r="B29" s="9">
        <f>COUNTA('Movilcoop'!$A$2:$A$19)</f>
        <v/>
      </c>
      <c r="C29" s="9">
        <f>COUNTIF('Movilcoop'!$K$2:$K$19,"Vigente")</f>
        <v/>
      </c>
      <c r="D29" s="9">
        <f>COUNTIF('Movilcoop'!$K$2:$K$19,"Se hace distinto")</f>
        <v/>
      </c>
      <c r="E29" s="9">
        <f>COUNTIF('Movilcoop'!$K$2:$K$19,"No lo sabíamos")</f>
        <v/>
      </c>
      <c r="F29" s="9">
        <f>COUNTIF('Movilcoop'!$K$2:$K$19,"No aplica")</f>
        <v/>
      </c>
      <c r="G29" s="9">
        <f>COUNTIF('Movilcoop'!$K$2:$K$19,"A definir")</f>
        <v/>
      </c>
      <c r="H29" s="9">
        <f>B29-SUM(C29:G29)</f>
        <v/>
      </c>
    </row>
    <row r="30">
      <c r="A30" s="9" t="inlineStr">
        <is>
          <t>Otros servicios</t>
        </is>
      </c>
      <c r="B30" s="9">
        <f>COUNTA('Otros servicios'!$A$2:$A$21)</f>
        <v/>
      </c>
      <c r="C30" s="9">
        <f>COUNTIF('Otros servicios'!$K$2:$K$21,"Vigente")</f>
        <v/>
      </c>
      <c r="D30" s="9">
        <f>COUNTIF('Otros servicios'!$K$2:$K$21,"Se hace distinto")</f>
        <v/>
      </c>
      <c r="E30" s="9">
        <f>COUNTIF('Otros servicios'!$K$2:$K$21,"No lo sabíamos")</f>
        <v/>
      </c>
      <c r="F30" s="9">
        <f>COUNTIF('Otros servicios'!$K$2:$K$21,"No aplica")</f>
        <v/>
      </c>
      <c r="G30" s="9">
        <f>COUNTIF('Otros servicios'!$K$2:$K$21,"A definir")</f>
        <v/>
      </c>
      <c r="H30" s="9">
        <f>B30-SUM(C30:G30)</f>
        <v/>
      </c>
    </row>
    <row r="31">
      <c r="A31" s="9" t="inlineStr">
        <is>
          <t>General y administrativo</t>
        </is>
      </c>
      <c r="B31" s="9">
        <f>COUNTA('General y administrativo'!$A$2:$A$17)</f>
        <v/>
      </c>
      <c r="C31" s="9">
        <f>COUNTIF('General y administrativo'!$K$2:$K$17,"Vigente")</f>
        <v/>
      </c>
      <c r="D31" s="9">
        <f>COUNTIF('General y administrativo'!$K$2:$K$17,"Se hace distinto")</f>
        <v/>
      </c>
      <c r="E31" s="9">
        <f>COUNTIF('General y administrativo'!$K$2:$K$17,"No lo sabíamos")</f>
        <v/>
      </c>
      <c r="F31" s="9">
        <f>COUNTIF('General y administrativo'!$K$2:$K$17,"No aplica")</f>
        <v/>
      </c>
      <c r="G31" s="9">
        <f>COUNTIF('General y administrativo'!$K$2:$K$17,"A definir")</f>
        <v/>
      </c>
      <c r="H31" s="9">
        <f>B31-SUM(C31:G31)</f>
        <v/>
      </c>
    </row>
    <row r="32">
      <c r="A32" s="10" t="inlineStr">
        <is>
          <t>Total</t>
        </is>
      </c>
      <c r="B32" s="10">
        <f>SUM(B26:B31)</f>
        <v/>
      </c>
      <c r="C32" s="10">
        <f>SUM(C26:C31)</f>
        <v/>
      </c>
      <c r="D32" s="10">
        <f>SUM(D26:D31)</f>
        <v/>
      </c>
      <c r="E32" s="10">
        <f>SUM(E26:E31)</f>
        <v/>
      </c>
      <c r="F32" s="10">
        <f>SUM(F26:F31)</f>
        <v/>
      </c>
      <c r="G32" s="10">
        <f>SUM(G26:G31)</f>
        <v/>
      </c>
      <c r="H32" s="10">
        <f>SUM(H26:H31)</f>
        <v/>
      </c>
    </row>
    <row r="34">
      <c r="A34" s="11" t="inlineStr">
        <is>
          <t>Pendientes abiertos</t>
        </is>
      </c>
      <c r="B34" s="12">
        <f>COUNTIF('Pendientes y contradicciones'!$H$2:$H$44,"Abierto")</f>
        <v/>
      </c>
    </row>
    <row r="35">
      <c r="A35" s="11" t="inlineStr">
        <is>
          <t>Pendientes resueltos</t>
        </is>
      </c>
      <c r="B35" s="12">
        <f>COUNTIF('Pendientes y contradicciones'!$H$2:$H$44,"Resuelto")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38" customWidth="1" min="3" max="3"/>
    <col width="42" customWidth="1" min="4" max="4"/>
    <col width="26" customWidth="1" min="5" max="5"/>
    <col width="18" customWidth="1" min="6" max="6"/>
    <col width="26" customWidth="1" min="7" max="7"/>
    <col width="16" customWidth="1" min="8" max="8"/>
    <col width="16" customWidth="1" min="9" max="9"/>
    <col width="16" customWidth="1" min="10" max="10"/>
    <col width="16" customWidth="1" min="11" max="11"/>
    <col width="40" customWidth="1" min="12" max="12"/>
  </cols>
  <sheetData>
    <row r="1" ht="32" customHeight="1">
      <c r="A1" s="8" t="inlineStr">
        <is>
          <t>ID</t>
        </is>
      </c>
      <c r="B1" s="8" t="inlineStr">
        <is>
          <t>Gestión</t>
        </is>
      </c>
      <c r="C1" s="8" t="inlineStr">
        <is>
          <t>Quién puede pedirla / condiciones</t>
        </is>
      </c>
      <c r="D1" s="8" t="inlineStr">
        <is>
          <t>Documentación</t>
        </is>
      </c>
      <c r="E1" s="8" t="inlineStr">
        <is>
          <t>Costo / qué se cobra</t>
        </is>
      </c>
      <c r="F1" s="8" t="inlineStr">
        <is>
          <t>Canales</t>
        </is>
      </c>
      <c r="G1" s="8" t="inlineStr">
        <is>
          <t>Intervienen / a quién se deriva</t>
        </is>
      </c>
      <c r="H1" s="8" t="inlineStr">
        <is>
          <t>Fuente</t>
        </is>
      </c>
      <c r="I1" s="8" t="inlineStr">
        <is>
          <t>Validación Ventas</t>
        </is>
      </c>
      <c r="J1" s="8" t="inlineStr">
        <is>
          <t>Validación Call Center</t>
        </is>
      </c>
      <c r="K1" s="8" t="inlineStr">
        <is>
          <t>Validación Mesa de Informes</t>
        </is>
      </c>
      <c r="L1" s="8" t="inlineStr">
        <is>
          <t>Observaciones / info nueva</t>
        </is>
      </c>
    </row>
    <row r="2">
      <c r="A2" s="13" t="inlineStr">
        <is>
          <t>E01</t>
        </is>
      </c>
      <c r="B2" s="14" t="inlineStr">
        <is>
          <t>Conexión monofásica – propietario</t>
        </is>
      </c>
      <c r="C2" s="13" t="inlineStr">
        <is>
          <t>Cualquier persona (socio o no). Si es a estrenar, ver E05.</t>
        </is>
      </c>
      <c r="D2" s="13" t="inlineStr">
        <is>
          <t>DNI/CUIT/CUIL; escritura o boleto de compraventa; certificado de instalación eléctrica apta (usuario y punto de medición); contrato social si es sociedad; foto del monolito listo (Anexo III); impuesto provincial de Rentas; inscripción en ARCA e Ingresos Brutos.</t>
        </is>
      </c>
      <c r="E2" s="13" t="inlineStr">
        <is>
          <t>Costo de conexión + suscripción de acciones. Sin garantía.</t>
        </is>
      </c>
      <c r="F2" s="13" t="inlineStr">
        <is>
          <t>Presencial / Web</t>
        </is>
      </c>
      <c r="G2" s="13" t="inlineStr">
        <is>
          <t>Oficina Técnica (factibilidad); Técnico de Servicios (conexión)</t>
        </is>
      </c>
      <c r="H2" s="13" t="inlineStr">
        <is>
          <t>IO 02.01 §5.1.1 / Fig. 1</t>
        </is>
      </c>
      <c r="I2" s="15" t="n"/>
      <c r="J2" s="15" t="n"/>
      <c r="K2" s="15" t="n"/>
      <c r="L2" s="15" t="n"/>
    </row>
    <row r="3">
      <c r="A3" s="13" t="inlineStr">
        <is>
          <t>E02</t>
        </is>
      </c>
      <c r="B3" s="14" t="inlineStr">
        <is>
          <t>Conexión monofásica – inquilino</t>
        </is>
      </c>
      <c r="C3" s="13" t="inlineStr">
        <is>
          <t>Inquilino con garante o depósito en garantía.</t>
        </is>
      </c>
      <c r="D3" s="13" t="inlineStr">
        <is>
          <t>DNI/CUIT/CUIL del inquilino, del propietario y del garante; contrato de alquiler con firmas certificadas (juez de paz o escribano); certificado apto (usuario y punto de medición); contrato social si es sociedad; foto impresa y firmada por el propietario del domicilio y monolito; monolito listo; Rentas; ARCA e IIBB.</t>
        </is>
      </c>
      <c r="E3" s="13" t="inlineStr">
        <is>
          <t>Costo de conexión + acciones + depósito en garantía (4 cuotas, 1ª de contado) si no hay garante. El depósito se devuelve en la baja.</t>
        </is>
      </c>
      <c r="F3" s="13" t="inlineStr">
        <is>
          <t>Presencial / Web</t>
        </is>
      </c>
      <c r="G3" s="13" t="inlineStr">
        <is>
          <t>Garante: socio de la Cooperativa y propietario</t>
        </is>
      </c>
      <c r="H3" s="13" t="inlineStr">
        <is>
          <t>IO 02.01 §5.1.1 / Fig. 1</t>
        </is>
      </c>
      <c r="I3" s="15" t="n"/>
      <c r="J3" s="15" t="n"/>
      <c r="K3" s="15" t="n"/>
      <c r="L3" s="15" t="n"/>
    </row>
    <row r="4">
      <c r="A4" s="13" t="inlineStr">
        <is>
          <t>E03</t>
        </is>
      </c>
      <c r="B4" s="14" t="inlineStr">
        <is>
          <t>Conexión trifásica – propietario</t>
        </is>
      </c>
      <c r="C4" s="13" t="inlineStr">
        <is>
          <t>Igual que monofásica + declaración de potencia.</t>
        </is>
      </c>
      <c r="D4" s="13" t="inlineStr">
        <is>
          <t>Igual que E01 + foto impresa y firmada por el propietario del domicilio y monolito + declaración jurada de potencia instalada (RPG/RIO 02.01). ARCA e IIBB en caso de comercio.</t>
        </is>
      </c>
      <c r="E4" s="13" t="inlineStr">
        <is>
          <t>Costo de conexión + suscripción de acciones.</t>
        </is>
      </c>
      <c r="F4" s="13" t="inlineStr">
        <is>
          <t>Presencial / Web</t>
        </is>
      </c>
      <c r="G4" s="13" t="inlineStr">
        <is>
          <t>Oficina Técnica; Técnico de Servicios</t>
        </is>
      </c>
      <c r="H4" s="13" t="inlineStr">
        <is>
          <t>IO 02.01 §5.1.1 / Fig. 2</t>
        </is>
      </c>
      <c r="I4" s="15" t="n"/>
      <c r="J4" s="15" t="n"/>
      <c r="K4" s="15" t="n"/>
      <c r="L4" s="15" t="n"/>
    </row>
    <row r="5">
      <c r="A5" s="13" t="inlineStr">
        <is>
          <t>E04</t>
        </is>
      </c>
      <c r="B5" s="14" t="inlineStr">
        <is>
          <t>Conexión trifásica – inquilino</t>
        </is>
      </c>
      <c r="C5" s="13" t="inlineStr">
        <is>
          <t>Inquilino con garante o depósito.</t>
        </is>
      </c>
      <c r="D5" s="13" t="inlineStr">
        <is>
          <t>Igual que E02 + declaración de potencia. (La figura menciona también 'Escritura copia').</t>
        </is>
      </c>
      <c r="E5" s="13" t="inlineStr">
        <is>
          <t>Costo de conexión + acciones + depósito si no hay garante.</t>
        </is>
      </c>
      <c r="F5" s="13" t="inlineStr">
        <is>
          <t>Presencial / Web</t>
        </is>
      </c>
      <c r="G5" s="13" t="inlineStr">
        <is>
          <t>Garante: socio y propietario</t>
        </is>
      </c>
      <c r="H5" s="13" t="inlineStr">
        <is>
          <t>IO 02.01 §5.1.1 / Fig. 2</t>
        </is>
      </c>
      <c r="I5" s="15" t="n"/>
      <c r="J5" s="15" t="n"/>
      <c r="K5" s="15" t="n"/>
      <c r="L5" s="15" t="n"/>
    </row>
    <row r="6">
      <c r="A6" s="13" t="inlineStr">
        <is>
          <t>E05</t>
        </is>
      </c>
      <c r="B6" s="14" t="inlineStr">
        <is>
          <t>Conexión en lugar a estrenar</t>
        </is>
      </c>
      <c r="C6" s="13" t="inlineStr">
        <is>
          <t>Requiere factibilidad técnica afirmativa.</t>
        </is>
      </c>
      <c r="D6" s="13" t="inlineStr">
        <is>
          <t>Autorización municipal.</t>
        </is>
      </c>
      <c r="E6" s="13" t="inlineStr">
        <is>
          <t>—</t>
        </is>
      </c>
      <c r="F6" s="13" t="inlineStr">
        <is>
          <t>Presencial</t>
        </is>
      </c>
      <c r="G6" s="13" t="inlineStr">
        <is>
          <t>Oficina Técnica: si la factibilidad es negativa, el cliente habla con ellos.</t>
        </is>
      </c>
      <c r="H6" s="13" t="inlineStr">
        <is>
          <t>IO 02.01 §5.1.1</t>
        </is>
      </c>
      <c r="I6" s="15" t="n"/>
      <c r="J6" s="15" t="n"/>
      <c r="K6" s="15" t="n"/>
      <c r="L6" s="15" t="n"/>
    </row>
    <row r="7">
      <c r="A7" s="13" t="inlineStr">
        <is>
          <t>E06</t>
        </is>
      </c>
      <c r="B7" s="14" t="inlineStr">
        <is>
          <t>Certificado de instalación eléctrica apta</t>
        </is>
      </c>
      <c r="C7" s="13" t="inlineStr">
        <is>
          <t>Obligatorio en conexión nueva, reconexión con medidor retirado y cambio de categoría con cambio de instalación (Ley 10.281, ERSeP).</t>
        </is>
      </c>
      <c r="D7" s="13" t="inlineStr">
        <is>
          <t>2 certificados: instalación del usuario y punto de medición. Por triplicado, firmado por propietario y electricista matriculado. Vivienda: electricista cat. III; tablero múltiple: cat. I o II.</t>
        </is>
      </c>
      <c r="E7" s="13" t="inlineStr">
        <is>
          <t>Vigencia: casa 5 años; comercio 3; pública concurrencia/cartelería/alumbrado/señalización 2; obra 1.</t>
        </is>
      </c>
      <c r="F7" s="13" t="inlineStr">
        <is>
          <t>—</t>
        </is>
      </c>
      <c r="G7" s="13" t="inlineStr">
        <is>
          <t>ERSeP (verificar matrícula)</t>
        </is>
      </c>
      <c r="H7" s="13" t="inlineStr">
        <is>
          <t>IO 02.01 §5.1.1</t>
        </is>
      </c>
      <c r="I7" s="15" t="n"/>
      <c r="J7" s="15" t="n"/>
      <c r="K7" s="15" t="n"/>
      <c r="L7" s="15" t="n"/>
    </row>
    <row r="8">
      <c r="A8" s="13" t="inlineStr">
        <is>
          <t>E07</t>
        </is>
      </c>
      <c r="B8" s="14" t="inlineStr">
        <is>
          <t>Pilares / monolito</t>
        </is>
      </c>
      <c r="C8" s="13" t="inlineStr">
        <is>
          <t>Según potencia y tipo.</t>
        </is>
      </c>
      <c r="D8" s="13" t="inlineStr">
        <is>
          <t>Anexo III: pilares mono y trifásicos hasta 5 kVA y mayores. Subterráneos, agrupaciones de medidores y transitorios de obra: consultar.</t>
        </is>
      </c>
      <c r="E8" s="13" t="inlineStr">
        <is>
          <t>—</t>
        </is>
      </c>
      <c r="F8" s="13" t="inlineStr">
        <is>
          <t>—</t>
        </is>
      </c>
      <c r="G8" s="13" t="inlineStr">
        <is>
          <t>Oficina Técnica</t>
        </is>
      </c>
      <c r="H8" s="13" t="inlineStr">
        <is>
          <t>IO 02.01 §5.1.1</t>
        </is>
      </c>
      <c r="I8" s="15" t="n"/>
      <c r="J8" s="15" t="n"/>
      <c r="K8" s="15" t="n"/>
      <c r="L8" s="15" t="n"/>
    </row>
    <row r="9">
      <c r="A9" s="13" t="inlineStr">
        <is>
          <t>E08</t>
        </is>
      </c>
      <c r="B9" s="14" t="inlineStr">
        <is>
          <t>Reconexión</t>
        </is>
      </c>
      <c r="C9" s="13" t="inlineStr">
        <is>
          <t>Con deuda paga. Corte &gt; 30 días: titular o autorización del titular.</t>
        </is>
      </c>
      <c r="D9" s="13" t="inlineStr">
        <is>
          <t>Si el medidor fue retirado: certificado apto + inspección. Firma declaración jurada.</t>
        </is>
      </c>
      <c r="E9" s="13" t="inlineStr">
        <is>
          <t>Se cobra reconexión.</t>
        </is>
      </c>
      <c r="F9" s="13" t="inlineStr">
        <is>
          <t>Presencial / Caja (pedidos por WhatsApp 'Teletrabajo')</t>
        </is>
      </c>
      <c r="G9" s="13" t="inlineStr">
        <is>
          <t>Facturación (deuda); Técnico de Servicios</t>
        </is>
      </c>
      <c r="H9" s="13" t="inlineStr">
        <is>
          <t>IO 02.01 §5.1.2</t>
        </is>
      </c>
      <c r="I9" s="15" t="n"/>
      <c r="J9" s="15" t="n"/>
      <c r="K9" s="15" t="n"/>
      <c r="L9" s="15" t="n"/>
    </row>
    <row r="10">
      <c r="A10" s="13" t="inlineStr">
        <is>
          <t>E09</t>
        </is>
      </c>
      <c r="B10" s="14" t="inlineStr">
        <is>
          <t>Cambio de titularidad / razón social</t>
        </is>
      </c>
      <c r="C10" s="13" t="inlineStr">
        <is>
          <t>Entre inquilinos, inquilino↔propietario o por fallecimiento. Vienen ambas partes.</t>
        </is>
      </c>
      <c r="D10" s="13" t="inlineStr">
        <is>
          <t>Toma de lectura 2-3 días antes. Garante o depósito del nuevo titular. Certificado apto si corresponde (inspección de monolito).</t>
        </is>
      </c>
      <c r="E10" s="13" t="inlineStr">
        <is>
          <t>Cambio de nombre + suscripción de acciones. Al saliente se le hace nota de crédito por su depósito.</t>
        </is>
      </c>
      <c r="F10" s="13" t="inlineStr">
        <is>
          <t>Presencial</t>
        </is>
      </c>
      <c r="G10" s="13" t="inlineStr">
        <is>
          <t>Facturación (lectura); Banco de Sangre si hay adherentes; Servicios sociales (se transfieren o se dan de baja)</t>
        </is>
      </c>
      <c r="H10" s="13" t="inlineStr">
        <is>
          <t>IO 02.01 §5.1.3</t>
        </is>
      </c>
      <c r="I10" s="15" t="n"/>
      <c r="J10" s="15" t="n"/>
      <c r="K10" s="15" t="n"/>
      <c r="L10" s="15" t="n"/>
    </row>
    <row r="11">
      <c r="A11" s="13" t="inlineStr">
        <is>
          <t>E10</t>
        </is>
      </c>
      <c r="B11" s="14" t="inlineStr">
        <is>
          <t>Baja voluntaria</t>
        </is>
      </c>
      <c r="C11" s="13" t="inlineStr">
        <is>
          <t>La pide el titular.</t>
        </is>
      </c>
      <c r="D11" s="13" t="inlineStr">
        <is>
          <t>—</t>
        </is>
      </c>
      <c r="E11" s="13" t="inlineStr">
        <is>
          <t>Se factura consumo hasta la toma de lectura; se reintegra depósito si lo hubo.</t>
        </is>
      </c>
      <c r="F11" s="13" t="inlineStr">
        <is>
          <t>Presencial</t>
        </is>
      </c>
      <c r="G11" s="13" t="inlineStr">
        <is>
          <t>Facturación</t>
        </is>
      </c>
      <c r="H11" s="13" t="inlineStr">
        <is>
          <t>IO 02.01 §5.1.4</t>
        </is>
      </c>
      <c r="I11" s="15" t="n"/>
      <c r="J11" s="15" t="n"/>
      <c r="K11" s="15" t="n"/>
      <c r="L11" s="15" t="n"/>
    </row>
    <row r="12">
      <c r="A12" s="13" t="inlineStr">
        <is>
          <t>E11</t>
        </is>
      </c>
      <c r="B12" s="14" t="inlineStr">
        <is>
          <t>Traslado</t>
        </is>
      </c>
      <c r="C12" s="13" t="inlineStr">
        <is>
          <t>Sin deuda y con disponibilidad técnica en el nuevo domicilio.</t>
        </is>
      </c>
      <c r="D12" s="13" t="inlineStr">
        <is>
          <t>Inquilino: contrato con firmas certificadas + renovación de garantía. Propietario: escritura.</t>
        </is>
      </c>
      <c r="E12" s="13" t="inlineStr">
        <is>
          <t>Se cobra traslado.</t>
        </is>
      </c>
      <c r="F12" s="13" t="inlineStr">
        <is>
          <t>Presencial</t>
        </is>
      </c>
      <c r="G12" s="13" t="inlineStr">
        <is>
          <t>Oficina Técnica; Técnico de Servicios</t>
        </is>
      </c>
      <c r="H12" s="13" t="inlineStr">
        <is>
          <t>IO 02.01 §5.1.5</t>
        </is>
      </c>
      <c r="I12" s="15" t="n"/>
      <c r="J12" s="15" t="n"/>
      <c r="K12" s="15" t="n"/>
      <c r="L12" s="15" t="n"/>
    </row>
    <row r="13">
      <c r="A13" s="13" t="inlineStr">
        <is>
          <t>E12</t>
        </is>
      </c>
      <c r="B13" s="14" t="inlineStr">
        <is>
          <t>Facturación de obras</t>
        </is>
      </c>
      <c r="C13" s="13" t="inlineStr">
        <is>
          <t>La pide Oficina Técnica por mail (obras@).</t>
        </is>
      </c>
      <c r="D13" s="13" t="inlineStr">
        <is>
          <t>Cuenta de 'ventas a terceros' con el mismo mail que el convenio.</t>
        </is>
      </c>
      <c r="E13" s="13" t="inlineStr">
        <is>
          <t>Ventas factura y arma el plan de pago; el comitente firma el convenio (lo completa Contaduría).</t>
        </is>
      </c>
      <c r="F13" s="13" t="inlineStr">
        <is>
          <t>Mail interno</t>
        </is>
      </c>
      <c r="G13" s="13" t="inlineStr">
        <is>
          <t>Oficina Técnica; Contaduría</t>
        </is>
      </c>
      <c r="H13" s="13" t="inlineStr">
        <is>
          <t>IO 02.01 §5.1.6</t>
        </is>
      </c>
      <c r="I13" s="15" t="n"/>
      <c r="J13" s="15" t="n"/>
      <c r="K13" s="15" t="n"/>
      <c r="L13" s="15" t="n"/>
    </row>
    <row r="14">
      <c r="A14" s="13" t="inlineStr">
        <is>
          <t>E13</t>
        </is>
      </c>
      <c r="B14" s="14" t="inlineStr">
        <is>
          <t>Financiaciones (titular o garante)</t>
        </is>
      </c>
      <c r="C14" s="13" t="inlineStr">
        <is>
          <t>SIN DESARROLLAR en el instructivo.</t>
        </is>
      </c>
      <c r="D14" s="13" t="inlineStr"/>
      <c r="E14" s="13" t="inlineStr"/>
      <c r="F14" s="13" t="inlineStr"/>
      <c r="G14" s="13" t="inlineStr">
        <is>
          <t>Gerencia Administrativa (aprobación)</t>
        </is>
      </c>
      <c r="H14" s="13" t="inlineStr">
        <is>
          <t>IO 02.01 §5.1.7</t>
        </is>
      </c>
      <c r="I14" s="15" t="n"/>
      <c r="J14" s="15" t="n"/>
      <c r="K14" s="15" t="n"/>
      <c r="L14" s="15" t="n"/>
    </row>
    <row r="15">
      <c r="A15" s="13" t="inlineStr">
        <is>
          <t>E14</t>
        </is>
      </c>
      <c r="B15" s="14" t="inlineStr">
        <is>
          <t>Prórrogas</t>
        </is>
      </c>
      <c r="C15" s="13" t="inlineStr">
        <is>
          <t>SIN DESARROLLAR en el instructivo.</t>
        </is>
      </c>
      <c r="D15" s="13" t="inlineStr"/>
      <c r="E15" s="13" t="inlineStr"/>
      <c r="F15" s="13" t="inlineStr"/>
      <c r="G15" s="13" t="inlineStr"/>
      <c r="H15" s="13" t="inlineStr">
        <is>
          <t>IO 02.01 §5.1.8</t>
        </is>
      </c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</sheetData>
  <autoFilter ref="A1:L25"/>
  <dataValidations count="1">
    <dataValidation sqref="I2:I25 J2:J25 K2:K25" showDropDown="0" showInputMessage="0" showErrorMessage="0" allowBlank="1" type="list">
      <formula1>"Vigente,Se hace distinto,No lo sabíamos,No aplica,A definir"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38" customWidth="1" min="3" max="3"/>
    <col width="42" customWidth="1" min="4" max="4"/>
    <col width="26" customWidth="1" min="5" max="5"/>
    <col width="18" customWidth="1" min="6" max="6"/>
    <col width="26" customWidth="1" min="7" max="7"/>
    <col width="16" customWidth="1" min="8" max="8"/>
    <col width="16" customWidth="1" min="9" max="9"/>
    <col width="16" customWidth="1" min="10" max="10"/>
    <col width="16" customWidth="1" min="11" max="11"/>
    <col width="40" customWidth="1" min="12" max="12"/>
  </cols>
  <sheetData>
    <row r="1" ht="32" customHeight="1">
      <c r="A1" s="8" t="inlineStr">
        <is>
          <t>ID</t>
        </is>
      </c>
      <c r="B1" s="8" t="inlineStr">
        <is>
          <t>Gestión</t>
        </is>
      </c>
      <c r="C1" s="8" t="inlineStr">
        <is>
          <t>Quién puede pedirla / condiciones</t>
        </is>
      </c>
      <c r="D1" s="8" t="inlineStr">
        <is>
          <t>Documentación</t>
        </is>
      </c>
      <c r="E1" s="8" t="inlineStr">
        <is>
          <t>Costo / qué se cobra</t>
        </is>
      </c>
      <c r="F1" s="8" t="inlineStr">
        <is>
          <t>Canales</t>
        </is>
      </c>
      <c r="G1" s="8" t="inlineStr">
        <is>
          <t>Intervienen / a quién se deriva</t>
        </is>
      </c>
      <c r="H1" s="8" t="inlineStr">
        <is>
          <t>Fuente</t>
        </is>
      </c>
      <c r="I1" s="8" t="inlineStr">
        <is>
          <t>Validación Ventas</t>
        </is>
      </c>
      <c r="J1" s="8" t="inlineStr">
        <is>
          <t>Validación Call Center</t>
        </is>
      </c>
      <c r="K1" s="8" t="inlineStr">
        <is>
          <t>Validación Mesa de Informes</t>
        </is>
      </c>
      <c r="L1" s="8" t="inlineStr">
        <is>
          <t>Observaciones / info nueva</t>
        </is>
      </c>
    </row>
    <row r="2">
      <c r="A2" s="13" t="inlineStr">
        <is>
          <t>A01</t>
        </is>
      </c>
      <c r="B2" s="14" t="inlineStr">
        <is>
          <t>Conexión urbana o rural – propietario</t>
        </is>
      </c>
      <c r="C2" s="13" t="inlineStr">
        <is>
          <t>Propietario.</t>
        </is>
      </c>
      <c r="D2" s="13" t="inlineStr">
        <is>
          <t>DNI; autorización municipal o final de obra; escritura o boleto; monolito listo; impuesto provincial de Rentas.</t>
        </is>
      </c>
      <c r="E2" s="13" t="inlineStr">
        <is>
          <t>Tarifa urbana 'Con medidor T1' o 'Rural T1'. Firma DJ, domicilio electrónico y financiación.</t>
        </is>
      </c>
      <c r="F2" s="13" t="inlineStr">
        <is>
          <t>Presencial / Web</t>
        </is>
      </c>
      <c r="G2" s="13" t="inlineStr">
        <is>
          <t>Oficina Técnica</t>
        </is>
      </c>
      <c r="H2" s="13" t="inlineStr">
        <is>
          <t>IO 02.02 §5.1-5.2 / Fig. 1</t>
        </is>
      </c>
      <c r="I2" s="15" t="n"/>
      <c r="J2" s="15" t="n"/>
      <c r="K2" s="15" t="n"/>
      <c r="L2" s="15" t="n"/>
    </row>
    <row r="3">
      <c r="A3" s="13" t="inlineStr">
        <is>
          <t>A02</t>
        </is>
      </c>
      <c r="B3" s="14" t="inlineStr">
        <is>
          <t>Conexión – inquilino</t>
        </is>
      </c>
      <c r="C3" s="13" t="inlineStr">
        <is>
          <t>A CONFIRMAR: el texto dice garante si es inquilino, pero también que el servicio está siempre a nombre del propietario.</t>
        </is>
      </c>
      <c r="D3" s="13" t="inlineStr">
        <is>
          <t>—</t>
        </is>
      </c>
      <c r="E3" s="13" t="inlineStr">
        <is>
          <t>—</t>
        </is>
      </c>
      <c r="F3" s="13" t="inlineStr">
        <is>
          <t>—</t>
        </is>
      </c>
      <c r="G3" s="13" t="inlineStr"/>
      <c r="H3" s="13" t="inlineStr">
        <is>
          <t>IO 02.02 §5.2</t>
        </is>
      </c>
      <c r="I3" s="15" t="n"/>
      <c r="J3" s="15" t="n"/>
      <c r="K3" s="15" t="n"/>
      <c r="L3" s="15" t="n"/>
    </row>
    <row r="4">
      <c r="A4" s="13" t="inlineStr">
        <is>
          <t>A03</t>
        </is>
      </c>
      <c r="B4" s="14" t="inlineStr">
        <is>
          <t>Conexión en lugar a estrenar</t>
        </is>
      </c>
      <c r="C4" s="13" t="inlineStr">
        <is>
          <t>Factibilidad afirmativa con el permiso municipal.</t>
        </is>
      </c>
      <c r="D4" s="13" t="inlineStr">
        <is>
          <t>Permiso municipal.</t>
        </is>
      </c>
      <c r="E4" s="13" t="inlineStr">
        <is>
          <t>Si es negativa, Oficina Técnica informa el costo de la obra.</t>
        </is>
      </c>
      <c r="F4" s="13" t="inlineStr">
        <is>
          <t>Presencial</t>
        </is>
      </c>
      <c r="G4" s="13" t="inlineStr">
        <is>
          <t>Oficina Técnica</t>
        </is>
      </c>
      <c r="H4" s="13" t="inlineStr">
        <is>
          <t>IO 02.02 §5.2</t>
        </is>
      </c>
      <c r="I4" s="15" t="n"/>
      <c r="J4" s="15" t="n"/>
      <c r="K4" s="15" t="n"/>
      <c r="L4" s="15" t="n"/>
    </row>
    <row r="5">
      <c r="A5" s="13" t="inlineStr">
        <is>
          <t>A04</t>
        </is>
      </c>
      <c r="B5" s="14" t="inlineStr">
        <is>
          <t>Corte (colocación de cepo)</t>
        </is>
      </c>
      <c r="C5" s="13" t="inlineStr">
        <is>
          <t>Por falta de pago.</t>
        </is>
      </c>
      <c r="D5" s="13" t="inlineStr">
        <is>
          <t>—</t>
        </is>
      </c>
      <c r="E5" s="13" t="inlineStr">
        <is>
          <t>—</t>
        </is>
      </c>
      <c r="F5" s="13" t="inlineStr">
        <is>
          <t>—</t>
        </is>
      </c>
      <c r="G5" s="13" t="inlineStr">
        <is>
          <t>Lo genera Facturación</t>
        </is>
      </c>
      <c r="H5" s="13" t="inlineStr">
        <is>
          <t>IO 02.02 §5.2.2</t>
        </is>
      </c>
      <c r="I5" s="15" t="n"/>
      <c r="J5" s="15" t="n"/>
      <c r="K5" s="15" t="n"/>
      <c r="L5" s="15" t="n"/>
    </row>
    <row r="6">
      <c r="A6" s="13" t="inlineStr">
        <is>
          <t>A05</t>
        </is>
      </c>
      <c r="B6" s="14" t="inlineStr">
        <is>
          <t>Reconexión (quita de cepo)</t>
        </is>
      </c>
      <c r="C6" s="13" t="inlineStr">
        <is>
          <t>SIN DESARROLLAR.</t>
        </is>
      </c>
      <c r="D6" s="13" t="inlineStr"/>
      <c r="E6" s="13" t="inlineStr"/>
      <c r="F6" s="13" t="inlineStr">
        <is>
          <t>Presencial / Web</t>
        </is>
      </c>
      <c r="G6" s="13" t="inlineStr"/>
      <c r="H6" s="13" t="inlineStr">
        <is>
          <t>IO 02.02 §5.2.3</t>
        </is>
      </c>
      <c r="I6" s="15" t="n"/>
      <c r="J6" s="15" t="n"/>
      <c r="K6" s="15" t="n"/>
      <c r="L6" s="15" t="n"/>
    </row>
    <row r="7">
      <c r="A7" s="13" t="inlineStr">
        <is>
          <t>A06</t>
        </is>
      </c>
      <c r="B7" s="14" t="inlineStr">
        <is>
          <t>Cambio de titularidad</t>
        </is>
      </c>
      <c r="C7" s="13" t="inlineStr">
        <is>
          <t>Solo por fallecimiento del titular o compra de la propiedad (el servicio va a nombre del propietario).</t>
        </is>
      </c>
      <c r="D7" s="13" t="inlineStr">
        <is>
          <t>Similar a energía.</t>
        </is>
      </c>
      <c r="E7" s="13" t="inlineStr">
        <is>
          <t>Suscripción de acciones si corresponde.</t>
        </is>
      </c>
      <c r="F7" s="13" t="inlineStr">
        <is>
          <t>Presencial</t>
        </is>
      </c>
      <c r="G7" s="13" t="inlineStr"/>
      <c r="H7" s="13" t="inlineStr">
        <is>
          <t>IO 02.02 §5.2.5</t>
        </is>
      </c>
      <c r="I7" s="15" t="n"/>
      <c r="J7" s="15" t="n"/>
      <c r="K7" s="15" t="n"/>
      <c r="L7" s="15" t="n"/>
    </row>
    <row r="8">
      <c r="A8" s="13" t="inlineStr">
        <is>
          <t>A07</t>
        </is>
      </c>
      <c r="B8" s="14" t="inlineStr">
        <is>
          <t>Baja voluntaria</t>
        </is>
      </c>
      <c r="C8" s="13" t="inlineStr">
        <is>
          <t>La pide el titular.</t>
        </is>
      </c>
      <c r="D8" s="13" t="inlineStr">
        <is>
          <t>Declaración jurada de que la vivienda está libre de ocupantes.</t>
        </is>
      </c>
      <c r="E8" s="13" t="inlineStr">
        <is>
          <t>—</t>
        </is>
      </c>
      <c r="F8" s="13" t="inlineStr">
        <is>
          <t>Presencial</t>
        </is>
      </c>
      <c r="G8" s="13" t="inlineStr"/>
      <c r="H8" s="13" t="inlineStr">
        <is>
          <t>IO 02.02 §5.2.6</t>
        </is>
      </c>
      <c r="I8" s="15" t="n"/>
      <c r="J8" s="15" t="n"/>
      <c r="K8" s="15" t="n"/>
      <c r="L8" s="15" t="n"/>
    </row>
    <row r="9">
      <c r="A9" s="13" t="inlineStr">
        <is>
          <t>A08</t>
        </is>
      </c>
      <c r="B9" s="14" t="inlineStr">
        <is>
          <t>Facturación de obras de agua</t>
        </is>
      </c>
      <c r="C9" s="13" t="inlineStr">
        <is>
          <t>La pide Oficina Técnica por mail.</t>
        </is>
      </c>
      <c r="D9" s="13" t="inlineStr">
        <is>
          <t>Igual que E12.</t>
        </is>
      </c>
      <c r="E9" s="13" t="inlineStr">
        <is>
          <t>Igual que E12.</t>
        </is>
      </c>
      <c r="F9" s="13" t="inlineStr">
        <is>
          <t>Mail interno</t>
        </is>
      </c>
      <c r="G9" s="13" t="inlineStr">
        <is>
          <t>Oficina Técnica; Contaduría</t>
        </is>
      </c>
      <c r="H9" s="13" t="inlineStr">
        <is>
          <t>IO 02.02 §5.2.7</t>
        </is>
      </c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</sheetData>
  <autoFilter ref="A1:L19"/>
  <dataValidations count="1">
    <dataValidation sqref="I2:I19 J2:J19 K2:K19" showDropDown="0" showInputMessage="0" showErrorMessage="0" allowBlank="1" type="list">
      <formula1>"Vigente,Se hace distinto,No lo sabíamos,No aplica,A definir"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38" customWidth="1" min="3" max="3"/>
    <col width="42" customWidth="1" min="4" max="4"/>
    <col width="26" customWidth="1" min="5" max="5"/>
    <col width="18" customWidth="1" min="6" max="6"/>
    <col width="26" customWidth="1" min="7" max="7"/>
    <col width="16" customWidth="1" min="8" max="8"/>
    <col width="16" customWidth="1" min="9" max="9"/>
    <col width="16" customWidth="1" min="10" max="10"/>
    <col width="16" customWidth="1" min="11" max="11"/>
    <col width="40" customWidth="1" min="12" max="12"/>
  </cols>
  <sheetData>
    <row r="1" ht="32" customHeight="1">
      <c r="A1" s="8" t="inlineStr">
        <is>
          <t>ID</t>
        </is>
      </c>
      <c r="B1" s="8" t="inlineStr">
        <is>
          <t>Gestión</t>
        </is>
      </c>
      <c r="C1" s="8" t="inlineStr">
        <is>
          <t>Quién puede pedirla / condiciones</t>
        </is>
      </c>
      <c r="D1" s="8" t="inlineStr">
        <is>
          <t>Documentación</t>
        </is>
      </c>
      <c r="E1" s="8" t="inlineStr">
        <is>
          <t>Costo / qué se cobra</t>
        </is>
      </c>
      <c r="F1" s="8" t="inlineStr">
        <is>
          <t>Canales</t>
        </is>
      </c>
      <c r="G1" s="8" t="inlineStr">
        <is>
          <t>Intervienen / a quién se deriva</t>
        </is>
      </c>
      <c r="H1" s="8" t="inlineStr">
        <is>
          <t>Fuente</t>
        </is>
      </c>
      <c r="I1" s="8" t="inlineStr">
        <is>
          <t>Validación Ventas</t>
        </is>
      </c>
      <c r="J1" s="8" t="inlineStr">
        <is>
          <t>Validación Call Center</t>
        </is>
      </c>
      <c r="K1" s="8" t="inlineStr">
        <is>
          <t>Validación Mesa de Informes</t>
        </is>
      </c>
      <c r="L1" s="8" t="inlineStr">
        <is>
          <t>Observaciones / info nueva</t>
        </is>
      </c>
    </row>
    <row r="2">
      <c r="A2" s="13" t="inlineStr">
        <is>
          <t>T01</t>
        </is>
      </c>
      <c r="B2" s="14" t="inlineStr">
        <is>
          <t>Teléfono – conexión</t>
        </is>
      </c>
      <c r="C2" s="13" t="inlineStr">
        <is>
          <t>Titular de energía en el domicilio / propietario / inquilino.</t>
        </is>
      </c>
      <c r="D2" s="13" t="inlineStr">
        <is>
          <t>Titular de energía: solo DNI. Propietario sin energía a su nombre: DNI + escritura. Inquilino: DNI + contrato con firmas certificadas + garante (cualquier asociado titular de energía).</t>
        </is>
      </c>
      <c r="E2" s="13" t="inlineStr">
        <is>
          <t>Depósito en garantía si corresponde. Tarifa residencial o comercial. Opciones: cobre o fibra, figura en guía, aparato común o especial.</t>
        </is>
      </c>
      <c r="F2" s="13" t="inlineStr">
        <is>
          <t>Presencial / Web / Teléfono</t>
        </is>
      </c>
      <c r="G2" s="13" t="inlineStr">
        <is>
          <t>Número según localidad (libro CNC)</t>
        </is>
      </c>
      <c r="H2" s="13" t="inlineStr">
        <is>
          <t>IO 02.03 §5.1.1</t>
        </is>
      </c>
      <c r="I2" s="15" t="n"/>
      <c r="J2" s="15" t="n"/>
      <c r="K2" s="15" t="n"/>
      <c r="L2" s="15" t="n"/>
    </row>
    <row r="3">
      <c r="A3" s="13" t="inlineStr">
        <is>
          <t>T02</t>
        </is>
      </c>
      <c r="B3" s="14" t="inlineStr">
        <is>
          <t>Internet por fibra óptica – conexión</t>
        </is>
      </c>
      <c r="C3" s="13" t="inlineStr">
        <is>
          <t>Mismos requisitos que teléfono. Si no tiene energía a su nombre, debe conectar teléfono antes (para ser asociado).</t>
        </is>
      </c>
      <c r="D3" s="13" t="inlineStr">
        <is>
          <t>Igual que T01.</t>
        </is>
      </c>
      <c r="E3" s="13" t="inlineStr">
        <is>
          <t>Inscripción $0. Conexión financiada en 4 cuotas sin interés.</t>
        </is>
      </c>
      <c r="F3" s="13" t="inlineStr">
        <is>
          <t>Presencial / Web / Teléfono</t>
        </is>
      </c>
      <c r="G3" s="13" t="inlineStr"/>
      <c r="H3" s="13" t="inlineStr">
        <is>
          <t>IO 02.03 §5.2.1</t>
        </is>
      </c>
      <c r="I3" s="15" t="n"/>
      <c r="J3" s="15" t="n"/>
      <c r="K3" s="15" t="n"/>
      <c r="L3" s="15" t="n"/>
    </row>
    <row r="4">
      <c r="A4" s="13" t="inlineStr">
        <is>
          <t>T03</t>
        </is>
      </c>
      <c r="B4" s="14" t="inlineStr">
        <is>
          <t>Internet inalámbrico – conexión</t>
        </is>
      </c>
      <c r="C4" s="13" t="inlineStr">
        <is>
          <t>Puede no ser socio. Requiere verificación geográfica de recepción.</t>
        </is>
      </c>
      <c r="D4" s="13" t="inlineStr">
        <is>
          <t>Garante o 2 meses de abono por adelantado.</t>
        </is>
      </c>
      <c r="E4" s="13" t="inlineStr">
        <is>
          <t>Equipo vendido por la Cooperativa: contado o hasta 6 cuotas.</t>
        </is>
      </c>
      <c r="F4" s="13" t="inlineStr">
        <is>
          <t>Presencial</t>
        </is>
      </c>
      <c r="G4" s="13" t="inlineStr">
        <is>
          <t>Encargado de internet inalámbrico; Depósito (factura equipo)</t>
        </is>
      </c>
      <c r="H4" s="13" t="inlineStr">
        <is>
          <t>IO 02.03 §5.2.2</t>
        </is>
      </c>
      <c r="I4" s="15" t="n"/>
      <c r="J4" s="15" t="n"/>
      <c r="K4" s="15" t="n"/>
      <c r="L4" s="15" t="n"/>
    </row>
    <row r="5">
      <c r="A5" s="13" t="inlineStr">
        <is>
          <t>T04</t>
        </is>
      </c>
      <c r="B5" s="14" t="inlineStr">
        <is>
          <t>Televisión (IPTV) – conexión</t>
        </is>
      </c>
      <c r="C5" s="13" t="inlineStr">
        <is>
          <t>Ser socio (energía, agua o teléfono a su nombre) y tener internet. Si solo quiere TV: prestación de internet 'solo IPTV' sin abono.</t>
        </is>
      </c>
      <c r="D5" s="13" t="inlineStr">
        <is>
          <t>Garantía: la misma cargada en internet.</t>
        </is>
      </c>
      <c r="E5" s="13" t="inlineStr">
        <is>
          <t>Sin costo de conexión si adhiere a pago directo en ese momento.</t>
        </is>
      </c>
      <c r="F5" s="13" t="inlineStr">
        <is>
          <t>Presencial / Web / Teléfono</t>
        </is>
      </c>
      <c r="G5" s="13" t="inlineStr"/>
      <c r="H5" s="13" t="inlineStr">
        <is>
          <t>IO 02.03 §5.3.1</t>
        </is>
      </c>
      <c r="I5" s="15" t="n"/>
      <c r="J5" s="15" t="n"/>
      <c r="K5" s="15" t="n"/>
      <c r="L5" s="15" t="n"/>
    </row>
    <row r="6">
      <c r="A6" s="13" t="inlineStr">
        <is>
          <t>T05</t>
        </is>
      </c>
      <c r="B6" s="14" t="inlineStr">
        <is>
          <t>TV – decodificadores adicionales (2 o 3 TV)</t>
        </is>
      </c>
      <c r="C6" s="13" t="inlineStr">
        <is>
          <t>Cliente con IPTV.</t>
        </is>
      </c>
      <c r="D6" s="13" t="inlineStr">
        <is>
          <t>—</t>
        </is>
      </c>
      <c r="E6" s="13" t="inlineStr">
        <is>
          <t>Se facturan y financian los decodificadores.</t>
        </is>
      </c>
      <c r="F6" s="13" t="inlineStr">
        <is>
          <t>Presencial</t>
        </is>
      </c>
      <c r="G6" s="13" t="inlineStr">
        <is>
          <t>Depósito (factura); Facturación (financia)</t>
        </is>
      </c>
      <c r="H6" s="13" t="inlineStr">
        <is>
          <t>IO 02.03 §5.3.1</t>
        </is>
      </c>
      <c r="I6" s="15" t="n"/>
      <c r="J6" s="15" t="n"/>
      <c r="K6" s="15" t="n"/>
      <c r="L6" s="15" t="n"/>
    </row>
    <row r="7">
      <c r="A7" s="13" t="inlineStr">
        <is>
          <t>T06</t>
        </is>
      </c>
      <c r="B7" s="14" t="inlineStr">
        <is>
          <t>Corte por falta de pago</t>
        </is>
      </c>
      <c r="C7" s="13" t="inlineStr">
        <is>
          <t>—</t>
        </is>
      </c>
      <c r="D7" s="13" t="inlineStr">
        <is>
          <t>—</t>
        </is>
      </c>
      <c r="E7" s="13" t="inlineStr">
        <is>
          <t>—</t>
        </is>
      </c>
      <c r="F7" s="13" t="inlineStr">
        <is>
          <t>—</t>
        </is>
      </c>
      <c r="G7" s="13" t="inlineStr">
        <is>
          <t>Lo genera Facturación</t>
        </is>
      </c>
      <c r="H7" s="13" t="inlineStr">
        <is>
          <t>IO 02.03 §5.2.3 / §5.3.4</t>
        </is>
      </c>
      <c r="I7" s="15" t="n"/>
      <c r="J7" s="15" t="n"/>
      <c r="K7" s="15" t="n"/>
      <c r="L7" s="15" t="n"/>
    </row>
    <row r="8">
      <c r="A8" s="13" t="inlineStr">
        <is>
          <t>T07</t>
        </is>
      </c>
      <c r="B8" s="14" t="inlineStr">
        <is>
          <t>Reconexión (teléfono, internet, TV)</t>
        </is>
      </c>
      <c r="C8" s="13" t="inlineStr">
        <is>
          <t>Con deuda paga. Corte &gt; 30 días: titular o autorización.</t>
        </is>
      </c>
      <c r="D8" s="13" t="inlineStr">
        <is>
          <t>Firma declaración jurada.</t>
        </is>
      </c>
      <c r="E8" s="13" t="inlineStr">
        <is>
          <t>Se cobra reconexión.</t>
        </is>
      </c>
      <c r="F8" s="13" t="inlineStr">
        <is>
          <t>Presencial / Web / Caja automática</t>
        </is>
      </c>
      <c r="G8" s="13" t="inlineStr">
        <is>
          <t>Caja</t>
        </is>
      </c>
      <c r="H8" s="13" t="inlineStr">
        <is>
          <t>IO 02.03 §5.1.3 / §5.2.4 / §5.3.5</t>
        </is>
      </c>
      <c r="I8" s="15" t="n"/>
      <c r="J8" s="15" t="n"/>
      <c r="K8" s="15" t="n"/>
      <c r="L8" s="15" t="n"/>
    </row>
    <row r="9">
      <c r="A9" s="13" t="inlineStr">
        <is>
          <t>T08</t>
        </is>
      </c>
      <c r="B9" s="14" t="inlineStr">
        <is>
          <t>Cambio de titularidad</t>
        </is>
      </c>
      <c r="C9" s="13" t="inlineStr">
        <is>
          <t>Poco frecuente: cambio de inquilino, fallecimiento o necesidad del cliente.</t>
        </is>
      </c>
      <c r="D9" s="13" t="inlineStr">
        <is>
          <t>Similar a energía.</t>
        </is>
      </c>
      <c r="E9" s="13" t="inlineStr">
        <is>
          <t>—</t>
        </is>
      </c>
      <c r="F9" s="13" t="inlineStr">
        <is>
          <t>Presencial</t>
        </is>
      </c>
      <c r="G9" s="13" t="inlineStr">
        <is>
          <t>Definir guía, velocidad e cantidad de TV del nuevo titular</t>
        </is>
      </c>
      <c r="H9" s="13" t="inlineStr">
        <is>
          <t>IO 02.03 §5.1.4</t>
        </is>
      </c>
      <c r="I9" s="15" t="n"/>
      <c r="J9" s="15" t="n"/>
      <c r="K9" s="15" t="n"/>
      <c r="L9" s="15" t="n"/>
    </row>
    <row r="10">
      <c r="A10" s="13" t="inlineStr">
        <is>
          <t>T09</t>
        </is>
      </c>
      <c r="B10" s="14" t="inlineStr">
        <is>
          <t>Baja voluntaria</t>
        </is>
      </c>
      <c r="C10" s="13" t="inlineStr">
        <is>
          <t>La pide el titular. Devuelve equipos en comodato (ONT, decodificador, HDMI, control remoto, transformadores).</t>
        </is>
      </c>
      <c r="D10" s="13" t="inlineStr">
        <is>
          <t>—</t>
        </is>
      </c>
      <c r="E10" s="13" t="inlineStr">
        <is>
          <t>Se facturan los faltantes (ONT, STB, control, HDMI) y el saldo hasta el día de la baja.</t>
        </is>
      </c>
      <c r="F10" s="13" t="inlineStr">
        <is>
          <t>Presencial</t>
        </is>
      </c>
      <c r="G10" s="13" t="inlineStr">
        <is>
          <t>Depósito (remito de devolución); Facturación</t>
        </is>
      </c>
      <c r="H10" s="13" t="inlineStr">
        <is>
          <t>IO 02.03 §5.1.2</t>
        </is>
      </c>
      <c r="I10" s="15" t="n"/>
      <c r="J10" s="15" t="n"/>
      <c r="K10" s="15" t="n"/>
      <c r="L10" s="15" t="n"/>
    </row>
    <row r="11">
      <c r="A11" s="13" t="inlineStr">
        <is>
          <t>T10</t>
        </is>
      </c>
      <c r="B11" s="14" t="inlineStr">
        <is>
          <t>Traslado (teléfono, internet, TV)</t>
        </is>
      </c>
      <c r="C11" s="13" t="inlineStr">
        <is>
          <t>Sin deuda y con disponibilidad técnica.</t>
        </is>
      </c>
      <c r="D11" s="13" t="inlineStr">
        <is>
          <t>Inquilino: contrato con firmas certificadas + renovación de garantía. Propietario: escritura.</t>
        </is>
      </c>
      <c r="E11" s="13" t="inlineStr">
        <is>
          <t>Se cobra traslado. Si cambia de localidad cambia el número de teléfono.</t>
        </is>
      </c>
      <c r="F11" s="13" t="inlineStr">
        <is>
          <t>Presencial</t>
        </is>
      </c>
      <c r="G11" s="13" t="inlineStr">
        <is>
          <t>Tendencia: la energía queda al propietario y el inquilino traslada TIC</t>
        </is>
      </c>
      <c r="H11" s="13" t="inlineStr">
        <is>
          <t>IO 02.03 §5.2.7</t>
        </is>
      </c>
      <c r="I11" s="15" t="n"/>
      <c r="J11" s="15" t="n"/>
      <c r="K11" s="15" t="n"/>
      <c r="L11" s="15" t="n"/>
    </row>
    <row r="12">
      <c r="A12" s="13" t="inlineStr">
        <is>
          <t>T11</t>
        </is>
      </c>
      <c r="B12" s="14" t="inlineStr">
        <is>
          <t>Facturación de obras TIC</t>
        </is>
      </c>
      <c r="C12" s="13" t="inlineStr">
        <is>
          <t>La pide IPTV por mail.</t>
        </is>
      </c>
      <c r="D12" s="13" t="inlineStr">
        <is>
          <t>Igual que E12.</t>
        </is>
      </c>
      <c r="E12" s="13" t="inlineStr">
        <is>
          <t>Igual que E12.</t>
        </is>
      </c>
      <c r="F12" s="13" t="inlineStr">
        <is>
          <t>Mail interno</t>
        </is>
      </c>
      <c r="G12" s="13" t="inlineStr">
        <is>
          <t>IPTV; Contaduría</t>
        </is>
      </c>
      <c r="H12" s="13" t="inlineStr">
        <is>
          <t>IO 02.03 §5.2.8</t>
        </is>
      </c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</sheetData>
  <autoFilter ref="A1:L22"/>
  <dataValidations count="1">
    <dataValidation sqref="I2:I22 J2:J22 K2:K22" showDropDown="0" showInputMessage="0" showErrorMessage="0" allowBlank="1" type="list">
      <formula1>"Vigente,Se hace distinto,No lo sabíamos,No aplica,A definir"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38" customWidth="1" min="3" max="3"/>
    <col width="42" customWidth="1" min="4" max="4"/>
    <col width="26" customWidth="1" min="5" max="5"/>
    <col width="18" customWidth="1" min="6" max="6"/>
    <col width="26" customWidth="1" min="7" max="7"/>
    <col width="16" customWidth="1" min="8" max="8"/>
    <col width="16" customWidth="1" min="9" max="9"/>
    <col width="16" customWidth="1" min="10" max="10"/>
    <col width="16" customWidth="1" min="11" max="11"/>
    <col width="40" customWidth="1" min="12" max="12"/>
  </cols>
  <sheetData>
    <row r="1" ht="32" customHeight="1">
      <c r="A1" s="8" t="inlineStr">
        <is>
          <t>ID</t>
        </is>
      </c>
      <c r="B1" s="8" t="inlineStr">
        <is>
          <t>Gestión</t>
        </is>
      </c>
      <c r="C1" s="8" t="inlineStr">
        <is>
          <t>Quién puede pedirla / condiciones</t>
        </is>
      </c>
      <c r="D1" s="8" t="inlineStr">
        <is>
          <t>Documentación</t>
        </is>
      </c>
      <c r="E1" s="8" t="inlineStr">
        <is>
          <t>Costo / qué se cobra</t>
        </is>
      </c>
      <c r="F1" s="8" t="inlineStr">
        <is>
          <t>Canales</t>
        </is>
      </c>
      <c r="G1" s="8" t="inlineStr">
        <is>
          <t>Intervienen / a quién se deriva</t>
        </is>
      </c>
      <c r="H1" s="8" t="inlineStr">
        <is>
          <t>Fuente</t>
        </is>
      </c>
      <c r="I1" s="8" t="inlineStr">
        <is>
          <t>Validación Ventas</t>
        </is>
      </c>
      <c r="J1" s="8" t="inlineStr">
        <is>
          <t>Validación Call Center</t>
        </is>
      </c>
      <c r="K1" s="8" t="inlineStr">
        <is>
          <t>Validación Mesa de Informes</t>
        </is>
      </c>
      <c r="L1" s="8" t="inlineStr">
        <is>
          <t>Observaciones / info nueva</t>
        </is>
      </c>
    </row>
    <row r="2">
      <c r="A2" s="13" t="inlineStr">
        <is>
          <t>M01</t>
        </is>
      </c>
      <c r="B2" s="14" t="inlineStr">
        <is>
          <t>Alta de línea</t>
        </is>
      </c>
      <c r="C2" s="13" t="inlineStr">
        <is>
          <t>Titular de la luz con 6 meses de antigüedad, al día. Si dio de baja una línea, no puede sacar otra por 1 año.</t>
        </is>
      </c>
      <c r="D2" s="13" t="inlineStr">
        <is>
          <t>DNI (copia); contrato y recibo.</t>
        </is>
      </c>
      <c r="E2" s="13" t="inlineStr">
        <is>
          <t>Plan Ilimitado 4 GB. Equipo financiado en la cuenta de energía.</t>
        </is>
      </c>
      <c r="F2" s="13" t="inlineStr">
        <is>
          <t>Presencial / Agentes externos</t>
        </is>
      </c>
      <c r="G2" s="13" t="inlineStr">
        <is>
          <t>Depósito (factura el equipo)</t>
        </is>
      </c>
      <c r="H2" s="13" t="inlineStr">
        <is>
          <t>PG 02 §5.6.1</t>
        </is>
      </c>
      <c r="I2" s="15" t="n"/>
      <c r="J2" s="15" t="n"/>
      <c r="K2" s="15" t="n"/>
      <c r="L2" s="15" t="n"/>
    </row>
    <row r="3">
      <c r="A3" s="13" t="inlineStr">
        <is>
          <t>M02</t>
        </is>
      </c>
      <c r="B3" s="14" t="inlineStr">
        <is>
          <t>Baja de línea</t>
        </is>
      </c>
      <c r="C3" s="13" t="inlineStr">
        <is>
          <t>Mínimo 1 año desde el alta; sin deuda. Pierde el número.</t>
        </is>
      </c>
      <c r="D3" s="13" t="inlineStr">
        <is>
          <t>—</t>
        </is>
      </c>
      <c r="E3" s="13" t="inlineStr">
        <is>
          <t>Quedan 1 o 2 facturas por llegar.</t>
        </is>
      </c>
      <c r="F3" s="13" t="inlineStr">
        <is>
          <t>Presencial</t>
        </is>
      </c>
      <c r="G3" s="13" t="inlineStr">
        <is>
          <t>Se reciben del 1 al 15; se envían a Claro antes del 19</t>
        </is>
      </c>
      <c r="H3" s="13" t="inlineStr">
        <is>
          <t>PG 02 §5.6.3</t>
        </is>
      </c>
      <c r="I3" s="15" t="n"/>
      <c r="J3" s="15" t="n"/>
      <c r="K3" s="15" t="n"/>
      <c r="L3" s="15" t="n"/>
    </row>
    <row r="4">
      <c r="A4" s="13" t="inlineStr">
        <is>
          <t>M03</t>
        </is>
      </c>
      <c r="B4" s="14" t="inlineStr">
        <is>
          <t>Reconexión</t>
        </is>
      </c>
      <c r="C4" s="13" t="inlineStr">
        <is>
          <t>Solo líneas suspendidas por falta de pago (no dadas de baja ni canceladas por Claro).</t>
        </is>
      </c>
      <c r="D4" s="13" t="inlineStr">
        <is>
          <t>—</t>
        </is>
      </c>
      <c r="E4" s="13" t="inlineStr">
        <is>
          <t>Se cobra reconexión.</t>
        </is>
      </c>
      <c r="F4" s="13" t="inlineStr">
        <is>
          <t>Presencial</t>
        </is>
      </c>
      <c r="G4" s="13" t="inlineStr">
        <is>
          <t>Se reconecta al final del día por autogestión Claro</t>
        </is>
      </c>
      <c r="H4" s="13" t="inlineStr">
        <is>
          <t>PG 02 §5.6.5</t>
        </is>
      </c>
      <c r="I4" s="15" t="n"/>
      <c r="J4" s="15" t="n"/>
      <c r="K4" s="15" t="n"/>
      <c r="L4" s="15" t="n"/>
    </row>
    <row r="5">
      <c r="A5" s="13" t="inlineStr">
        <is>
          <t>M04</t>
        </is>
      </c>
      <c r="B5" s="14" t="inlineStr">
        <is>
          <t>Transferencia</t>
        </is>
      </c>
      <c r="C5" s="13" t="inlineStr">
        <is>
          <t>Vienen ambas partes con DNI; el nuevo titular debe tener energía a su nombre.</t>
        </is>
      </c>
      <c r="D5" s="13" t="inlineStr">
        <is>
          <t>DNI de ambos.</t>
        </is>
      </c>
      <c r="E5" s="13" t="inlineStr">
        <is>
          <t>Sin costo.</t>
        </is>
      </c>
      <c r="F5" s="13" t="inlineStr">
        <is>
          <t>Presencial</t>
        </is>
      </c>
      <c r="G5" s="13" t="inlineStr"/>
      <c r="H5" s="13" t="inlineStr">
        <is>
          <t>PG 02 §5.6.6</t>
        </is>
      </c>
      <c r="I5" s="15" t="n"/>
      <c r="J5" s="15" t="n"/>
      <c r="K5" s="15" t="n"/>
      <c r="L5" s="15" t="n"/>
    </row>
    <row r="6">
      <c r="A6" s="13" t="inlineStr">
        <is>
          <t>M05</t>
        </is>
      </c>
      <c r="B6" s="14" t="inlineStr">
        <is>
          <t>Cambio de plan</t>
        </is>
      </c>
      <c r="C6" s="13" t="inlineStr">
        <is>
          <t>Se pide por reclamo.</t>
        </is>
      </c>
      <c r="D6" s="13" t="inlineStr">
        <is>
          <t>Línea, plan actual y plan deseado.</t>
        </is>
      </c>
      <c r="E6" s="13" t="inlineStr">
        <is>
          <t>—</t>
        </is>
      </c>
      <c r="F6" s="13" t="inlineStr">
        <is>
          <t>Reclamo</t>
        </is>
      </c>
      <c r="G6" s="13" t="inlineStr">
        <is>
          <t>Claro</t>
        </is>
      </c>
      <c r="H6" s="13" t="inlineStr">
        <is>
          <t>PG 02 §5.6.9</t>
        </is>
      </c>
      <c r="I6" s="15" t="n"/>
      <c r="J6" s="15" t="n"/>
      <c r="K6" s="15" t="n"/>
      <c r="L6" s="15" t="n"/>
    </row>
    <row r="7">
      <c r="A7" s="13" t="inlineStr">
        <is>
          <t>M06</t>
        </is>
      </c>
      <c r="B7" s="14" t="inlineStr">
        <is>
          <t>Desbloqueo de equipo negado</t>
        </is>
      </c>
      <c r="C7" s="13" t="inlineStr">
        <is>
          <t>Deuda saldada.</t>
        </is>
      </c>
      <c r="D7" s="13" t="inlineStr">
        <is>
          <t>IMEI, número de línea, foto del DNI del responsable.</t>
        </is>
      </c>
      <c r="E7" s="13" t="inlineStr">
        <is>
          <t>Se factura un abono (costo de reactivación).</t>
        </is>
      </c>
      <c r="F7" s="13" t="inlineStr">
        <is>
          <t>Presencial</t>
        </is>
      </c>
      <c r="G7" s="13" t="inlineStr">
        <is>
          <t>Claro</t>
        </is>
      </c>
      <c r="H7" s="13" t="inlineStr">
        <is>
          <t>PG 02 §5.6.8</t>
        </is>
      </c>
      <c r="I7" s="15" t="n"/>
      <c r="J7" s="15" t="n"/>
      <c r="K7" s="15" t="n"/>
      <c r="L7" s="15" t="n"/>
    </row>
    <row r="8">
      <c r="A8" s="13" t="inlineStr">
        <is>
          <t>M07</t>
        </is>
      </c>
      <c r="B8" s="14" t="inlineStr">
        <is>
          <t>Pase de titularidad de la Cooperativa a Claro</t>
        </is>
      </c>
      <c r="C8" s="13" t="inlineStr">
        <is>
          <t>1 año de antigüedad y cuentas al día.</t>
        </is>
      </c>
      <c r="D8" s="13" t="inlineStr">
        <is>
          <t>DNI; formularios SDS-cambio-TT, ACP-Masivo y SDS-11 si es más de una línea.</t>
        </is>
      </c>
      <c r="E8" s="13" t="inlineStr">
        <is>
          <t>—</t>
        </is>
      </c>
      <c r="F8" s="13" t="inlineStr">
        <is>
          <t>Presencial</t>
        </is>
      </c>
      <c r="G8" s="13" t="inlineStr">
        <is>
          <t>Claro</t>
        </is>
      </c>
      <c r="H8" s="13" t="inlineStr">
        <is>
          <t>PG 02 §5.6.10</t>
        </is>
      </c>
      <c r="I8" s="15" t="n"/>
      <c r="J8" s="15" t="n"/>
      <c r="K8" s="15" t="n"/>
      <c r="L8" s="15" t="n"/>
    </row>
    <row r="9">
      <c r="A9" s="13" t="inlineStr">
        <is>
          <t>M08</t>
        </is>
      </c>
      <c r="B9" s="14" t="inlineStr">
        <is>
          <t>Pedidos por autogestión Claro</t>
        </is>
      </c>
      <c r="C9" s="13" t="inlineStr">
        <is>
          <t>—</t>
        </is>
      </c>
      <c r="D9" s="13" t="inlineStr">
        <is>
          <t>—</t>
        </is>
      </c>
      <c r="E9" s="13" t="inlineStr">
        <is>
          <t>—</t>
        </is>
      </c>
      <c r="F9" s="13" t="inlineStr">
        <is>
          <t>Interno</t>
        </is>
      </c>
      <c r="G9" s="13" t="inlineStr">
        <is>
          <t>Equipos, SIM/eSIM, seguimiento y activación</t>
        </is>
      </c>
      <c r="H9" s="13" t="inlineStr">
        <is>
          <t>PG 02 §5.6.7</t>
        </is>
      </c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</sheetData>
  <autoFilter ref="A1:L19"/>
  <dataValidations count="1">
    <dataValidation sqref="I2:I19 J2:J19 K2:K19" showDropDown="0" showInputMessage="0" showErrorMessage="0" allowBlank="1" type="list">
      <formula1>"Vigente,Se hace distinto,No lo sabíamos,No aplica,A definir"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38" customWidth="1" min="3" max="3"/>
    <col width="42" customWidth="1" min="4" max="4"/>
    <col width="26" customWidth="1" min="5" max="5"/>
    <col width="18" customWidth="1" min="6" max="6"/>
    <col width="26" customWidth="1" min="7" max="7"/>
    <col width="16" customWidth="1" min="8" max="8"/>
    <col width="16" customWidth="1" min="9" max="9"/>
    <col width="16" customWidth="1" min="10" max="10"/>
    <col width="16" customWidth="1" min="11" max="11"/>
    <col width="40" customWidth="1" min="12" max="12"/>
  </cols>
  <sheetData>
    <row r="1" ht="32" customHeight="1">
      <c r="A1" s="8" t="inlineStr">
        <is>
          <t>ID</t>
        </is>
      </c>
      <c r="B1" s="8" t="inlineStr">
        <is>
          <t>Gestión</t>
        </is>
      </c>
      <c r="C1" s="8" t="inlineStr">
        <is>
          <t>Quién puede pedirla / condiciones</t>
        </is>
      </c>
      <c r="D1" s="8" t="inlineStr">
        <is>
          <t>Documentación</t>
        </is>
      </c>
      <c r="E1" s="8" t="inlineStr">
        <is>
          <t>Costo / qué se cobra</t>
        </is>
      </c>
      <c r="F1" s="8" t="inlineStr">
        <is>
          <t>Canales</t>
        </is>
      </c>
      <c r="G1" s="8" t="inlineStr">
        <is>
          <t>Intervienen / a quién se deriva</t>
        </is>
      </c>
      <c r="H1" s="8" t="inlineStr">
        <is>
          <t>Fuente</t>
        </is>
      </c>
      <c r="I1" s="8" t="inlineStr">
        <is>
          <t>Validación Ventas</t>
        </is>
      </c>
      <c r="J1" s="8" t="inlineStr">
        <is>
          <t>Validación Call Center</t>
        </is>
      </c>
      <c r="K1" s="8" t="inlineStr">
        <is>
          <t>Validación Mesa de Informes</t>
        </is>
      </c>
      <c r="L1" s="8" t="inlineStr">
        <is>
          <t>Observaciones / info nueva</t>
        </is>
      </c>
    </row>
    <row r="2">
      <c r="A2" s="13" t="inlineStr">
        <is>
          <t>O01</t>
        </is>
      </c>
      <c r="B2" s="14" t="inlineStr">
        <is>
          <t>Pago directo – alta</t>
        </is>
      </c>
      <c r="C2" s="13" t="inlineStr">
        <is>
          <t>Titular de la cuenta bancaria.</t>
        </is>
      </c>
      <c r="D2" s="13" t="inlineStr">
        <is>
          <t>Planilla: datos del titular, banco, CBU/alias, cuentas a adherir.</t>
        </is>
      </c>
      <c r="E2" s="13" t="inlineStr">
        <is>
          <t>—</t>
        </is>
      </c>
      <c r="F2" s="13" t="inlineStr">
        <is>
          <t>Presencial / Web</t>
        </is>
      </c>
      <c r="G2" s="13" t="inlineStr"/>
      <c r="H2" s="13" t="inlineStr">
        <is>
          <t>PG 02 §5.4.1</t>
        </is>
      </c>
      <c r="I2" s="15" t="n"/>
      <c r="J2" s="15" t="n"/>
      <c r="K2" s="15" t="n"/>
      <c r="L2" s="15" t="n"/>
    </row>
    <row r="3">
      <c r="A3" s="13" t="inlineStr">
        <is>
          <t>O02</t>
        </is>
      </c>
      <c r="B3" s="14" t="inlineStr">
        <is>
          <t>Pago directo – baja</t>
        </is>
      </c>
      <c r="C3" s="13" t="inlineStr">
        <is>
          <t>Titular.</t>
        </is>
      </c>
      <c r="D3" s="13" t="inlineStr">
        <is>
          <t>Planilla.</t>
        </is>
      </c>
      <c r="E3" s="13" t="inlineStr">
        <is>
          <t>—</t>
        </is>
      </c>
      <c r="F3" s="13" t="inlineStr">
        <is>
          <t>Presencial / Web</t>
        </is>
      </c>
      <c r="G3" s="13" t="inlineStr"/>
      <c r="H3" s="13" t="inlineStr">
        <is>
          <t>PG 02 §5.4.2</t>
        </is>
      </c>
      <c r="I3" s="15" t="n"/>
      <c r="J3" s="15" t="n"/>
      <c r="K3" s="15" t="n"/>
      <c r="L3" s="15" t="n"/>
    </row>
    <row r="4">
      <c r="A4" s="13" t="inlineStr">
        <is>
          <t>O03</t>
        </is>
      </c>
      <c r="B4" s="14" t="inlineStr">
        <is>
          <t>APROSS – afiliaciones nuevas</t>
        </is>
      </c>
      <c r="C4" s="13" t="inlineStr">
        <is>
          <t>SUSPENDIDAS por resolución de APROSS.</t>
        </is>
      </c>
      <c r="D4" s="13" t="inlineStr">
        <is>
          <t>—</t>
        </is>
      </c>
      <c r="E4" s="13" t="inlineStr">
        <is>
          <t>—</t>
        </is>
      </c>
      <c r="F4" s="13" t="inlineStr">
        <is>
          <t>—</t>
        </is>
      </c>
      <c r="G4" s="13" t="inlineStr">
        <is>
          <t>APROSS</t>
        </is>
      </c>
      <c r="H4" s="13" t="inlineStr">
        <is>
          <t>PG 02 §5.5</t>
        </is>
      </c>
      <c r="I4" s="15" t="n"/>
      <c r="J4" s="15" t="n"/>
      <c r="K4" s="15" t="n"/>
      <c r="L4" s="15" t="n"/>
    </row>
    <row r="5">
      <c r="A5" s="13" t="inlineStr">
        <is>
          <t>O04</t>
        </is>
      </c>
      <c r="B5" s="14" t="inlineStr">
        <is>
          <t>APROSS – continuidad por pérdida de empleo / recién nacido</t>
        </is>
      </c>
      <c r="C5" s="13" t="inlineStr">
        <is>
          <t>Afiliado existente.</t>
        </is>
      </c>
      <c r="D5" s="13" t="inlineStr">
        <is>
          <t>Planillas APROSS (DJ de salud, ficha afiliatoria, agregar/renovar familiares, etc.).</t>
        </is>
      </c>
      <c r="E5" s="13" t="inlineStr">
        <is>
          <t>—</t>
        </is>
      </c>
      <c r="F5" s="13" t="inlineStr">
        <is>
          <t>Presencial</t>
        </is>
      </c>
      <c r="G5" s="13" t="inlineStr">
        <is>
          <t>APROSS (entidadesvoluntarias@apross.gov.ar)</t>
        </is>
      </c>
      <c r="H5" s="13" t="inlineStr">
        <is>
          <t>PG 02 §5.5</t>
        </is>
      </c>
      <c r="I5" s="15" t="n"/>
      <c r="J5" s="15" t="n"/>
      <c r="K5" s="15" t="n"/>
      <c r="L5" s="15" t="n"/>
    </row>
    <row r="6">
      <c r="A6" s="13" t="inlineStr">
        <is>
          <t>O05</t>
        </is>
      </c>
      <c r="B6" s="14" t="inlineStr">
        <is>
          <t>APROSS – bajas</t>
        </is>
      </c>
      <c r="C6" s="13" t="inlineStr">
        <is>
          <t>Voluntaria, por fallecimiento o por deuda.</t>
        </is>
      </c>
      <c r="D6" s="13" t="inlineStr">
        <is>
          <t>Ficha de baja.</t>
        </is>
      </c>
      <c r="E6" s="13" t="inlineStr">
        <is>
          <t>—</t>
        </is>
      </c>
      <c r="F6" s="13" t="inlineStr">
        <is>
          <t>Presencial</t>
        </is>
      </c>
      <c r="G6" s="13" t="inlineStr">
        <is>
          <t>APROSS</t>
        </is>
      </c>
      <c r="H6" s="13" t="inlineStr">
        <is>
          <t>PG 02 §5.5</t>
        </is>
      </c>
      <c r="I6" s="15" t="n"/>
      <c r="J6" s="15" t="n"/>
      <c r="K6" s="15" t="n"/>
      <c r="L6" s="15" t="n"/>
    </row>
    <row r="7">
      <c r="A7" s="13" t="inlineStr">
        <is>
          <t>O06</t>
        </is>
      </c>
      <c r="B7" s="14" t="inlineStr">
        <is>
          <t>APROSS – control de deuda</t>
        </is>
      </c>
      <c r="C7" s="13" t="inlineStr">
        <is>
          <t>—</t>
        </is>
      </c>
      <c r="D7" s="13" t="inlineStr">
        <is>
          <t>—</t>
        </is>
      </c>
      <c r="E7" s="13" t="inlineStr">
        <is>
          <t>Intimación por mail; el día 10 de cada mes se informa la baja por deuda.</t>
        </is>
      </c>
      <c r="F7" s="13" t="inlineStr">
        <is>
          <t>Interno</t>
        </is>
      </c>
      <c r="G7" s="13" t="inlineStr">
        <is>
          <t>APROSS</t>
        </is>
      </c>
      <c r="H7" s="13" t="inlineStr">
        <is>
          <t>PG 02 §5.5</t>
        </is>
      </c>
      <c r="I7" s="15" t="n"/>
      <c r="J7" s="15" t="n"/>
      <c r="K7" s="15" t="n"/>
      <c r="L7" s="15" t="n"/>
    </row>
    <row r="8">
      <c r="A8" s="13" t="inlineStr">
        <is>
          <t>O07</t>
        </is>
      </c>
      <c r="B8" s="14" t="inlineStr">
        <is>
          <t>Seguro de vida / subsidio por fallecimiento (Red Bienestar)</t>
        </is>
      </c>
      <c r="C8" s="13" t="inlineStr">
        <is>
          <t>Socio con energía o agua activa.</t>
        </is>
      </c>
      <c r="D8" s="13" t="inlineStr">
        <is>
          <t>DNI de 2 beneficiarios; planilla firmada.</t>
        </is>
      </c>
      <c r="E8" s="13" t="inlineStr">
        <is>
          <t>—</t>
        </is>
      </c>
      <c r="F8" s="13" t="inlineStr">
        <is>
          <t>Presencial</t>
        </is>
      </c>
      <c r="G8" s="13" t="inlineStr"/>
      <c r="H8" s="13" t="inlineStr">
        <is>
          <t>PG 02 Servicios sociales / Anexo IV</t>
        </is>
      </c>
      <c r="I8" s="15" t="n"/>
      <c r="J8" s="15" t="n"/>
      <c r="K8" s="15" t="n"/>
      <c r="L8" s="15" t="n"/>
    </row>
    <row r="9">
      <c r="A9" s="13" t="inlineStr">
        <is>
          <t>O08</t>
        </is>
      </c>
      <c r="B9" s="14" t="inlineStr">
        <is>
          <t>Servicio de sepelio</t>
        </is>
      </c>
      <c r="C9" s="13" t="inlineStr">
        <is>
          <t>Socio con energía o agua activa.</t>
        </is>
      </c>
      <c r="D9" s="13" t="inlineStr">
        <is>
          <t>Libreta de familia o DNI del grupo familiar; planilla firmada.</t>
        </is>
      </c>
      <c r="E9" s="13" t="inlineStr">
        <is>
          <t>Se cobra inscripción.</t>
        </is>
      </c>
      <c r="F9" s="13" t="inlineStr">
        <is>
          <t>Presencial</t>
        </is>
      </c>
      <c r="G9" s="13" t="inlineStr"/>
      <c r="H9" s="13" t="inlineStr">
        <is>
          <t>PG 02 §5.7.2 / Anexo III</t>
        </is>
      </c>
      <c r="I9" s="15" t="n"/>
      <c r="J9" s="15" t="n"/>
      <c r="K9" s="15" t="n"/>
      <c r="L9" s="15" t="n"/>
    </row>
    <row r="10">
      <c r="A10" s="13" t="inlineStr">
        <is>
          <t>O09</t>
        </is>
      </c>
      <c r="B10" s="14" t="inlineStr">
        <is>
          <t>Banco de Sangre</t>
        </is>
      </c>
      <c r="C10" s="13" t="inlineStr">
        <is>
          <t>Socio con energía o agua activa.</t>
        </is>
      </c>
      <c r="D10" s="13" t="inlineStr">
        <is>
          <t>Libreta de familia o DNI del grupo familiar.</t>
        </is>
      </c>
      <c r="E10" s="13" t="inlineStr">
        <is>
          <t>—</t>
        </is>
      </c>
      <c r="F10" s="13" t="inlineStr">
        <is>
          <t>Presencial</t>
        </is>
      </c>
      <c r="G10" s="13" t="inlineStr">
        <is>
          <t>A CONFIRMAR si lo hace Ventas o el Banco de Sangre</t>
        </is>
      </c>
      <c r="H10" s="13" t="inlineStr">
        <is>
          <t>PG 02 §5.7.3</t>
        </is>
      </c>
      <c r="I10" s="15" t="n"/>
      <c r="J10" s="15" t="n"/>
      <c r="K10" s="15" t="n"/>
      <c r="L10" s="15" t="n"/>
    </row>
    <row r="11">
      <c r="A11" s="13" t="inlineStr">
        <is>
          <t>O10</t>
        </is>
      </c>
      <c r="B11" s="14" t="inlineStr">
        <is>
          <t>Baja de servicios sociales</t>
        </is>
      </c>
      <c r="C11" s="13" t="inlineStr">
        <is>
          <t>La pide el titular.</t>
        </is>
      </c>
      <c r="D11" s="13" t="inlineStr">
        <is>
          <t>Planilla de baja por cada servicio.</t>
        </is>
      </c>
      <c r="E11" s="13" t="inlineStr">
        <is>
          <t>—</t>
        </is>
      </c>
      <c r="F11" s="13" t="inlineStr">
        <is>
          <t>Presencial</t>
        </is>
      </c>
      <c r="G11" s="13" t="inlineStr"/>
      <c r="H11" s="13" t="inlineStr">
        <is>
          <t>PG 02 Servicios sociales</t>
        </is>
      </c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</sheetData>
  <autoFilter ref="A1:L21"/>
  <dataValidations count="1">
    <dataValidation sqref="I2:I21 J2:J21 K2:K21" showDropDown="0" showInputMessage="0" showErrorMessage="0" allowBlank="1" type="list">
      <formula1>"Vigente,Se hace distinto,No lo sabíamos,No aplica,A definir"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38" customWidth="1" min="3" max="3"/>
    <col width="42" customWidth="1" min="4" max="4"/>
    <col width="26" customWidth="1" min="5" max="5"/>
    <col width="18" customWidth="1" min="6" max="6"/>
    <col width="26" customWidth="1" min="7" max="7"/>
    <col width="16" customWidth="1" min="8" max="8"/>
    <col width="16" customWidth="1" min="9" max="9"/>
    <col width="16" customWidth="1" min="10" max="10"/>
    <col width="16" customWidth="1" min="11" max="11"/>
    <col width="40" customWidth="1" min="12" max="12"/>
  </cols>
  <sheetData>
    <row r="1" ht="32" customHeight="1">
      <c r="A1" s="8" t="inlineStr">
        <is>
          <t>ID</t>
        </is>
      </c>
      <c r="B1" s="8" t="inlineStr">
        <is>
          <t>Gestión</t>
        </is>
      </c>
      <c r="C1" s="8" t="inlineStr">
        <is>
          <t>Quién puede pedirla / condiciones</t>
        </is>
      </c>
      <c r="D1" s="8" t="inlineStr">
        <is>
          <t>Documentación</t>
        </is>
      </c>
      <c r="E1" s="8" t="inlineStr">
        <is>
          <t>Costo / qué se cobra</t>
        </is>
      </c>
      <c r="F1" s="8" t="inlineStr">
        <is>
          <t>Canales</t>
        </is>
      </c>
      <c r="G1" s="8" t="inlineStr">
        <is>
          <t>Intervienen / a quién se deriva</t>
        </is>
      </c>
      <c r="H1" s="8" t="inlineStr">
        <is>
          <t>Fuente</t>
        </is>
      </c>
      <c r="I1" s="8" t="inlineStr">
        <is>
          <t>Validación Ventas</t>
        </is>
      </c>
      <c r="J1" s="8" t="inlineStr">
        <is>
          <t>Validación Call Center</t>
        </is>
      </c>
      <c r="K1" s="8" t="inlineStr">
        <is>
          <t>Validación Mesa de Informes</t>
        </is>
      </c>
      <c r="L1" s="8" t="inlineStr">
        <is>
          <t>Observaciones / info nueva</t>
        </is>
      </c>
    </row>
    <row r="2">
      <c r="A2" s="13" t="inlineStr">
        <is>
          <t>G01</t>
        </is>
      </c>
      <c r="B2" s="14" t="inlineStr">
        <is>
          <t>Atención de consultas y trámites</t>
        </is>
      </c>
      <c r="C2" s="13" t="inlineStr">
        <is>
          <t>Socio o no socio (define requisitos).</t>
        </is>
      </c>
      <c r="D2" s="13" t="inlineStr">
        <is>
          <t>Presencial: se entrega Anexo I de requisitos. Web: si falta algo se avisa por mail o teléfono.</t>
        </is>
      </c>
      <c r="E2" s="13" t="inlineStr">
        <is>
          <t>—</t>
        </is>
      </c>
      <c r="F2" s="13" t="inlineStr">
        <is>
          <t>Presencial / Web / Teléfono</t>
        </is>
      </c>
      <c r="G2" s="13" t="inlineStr"/>
      <c r="H2" s="13" t="inlineStr">
        <is>
          <t>PG 02 §5</t>
        </is>
      </c>
      <c r="I2" s="15" t="n"/>
      <c r="J2" s="15" t="n"/>
      <c r="K2" s="15" t="n"/>
      <c r="L2" s="15" t="n"/>
    </row>
    <row r="3">
      <c r="A3" s="13" t="inlineStr">
        <is>
          <t>G02</t>
        </is>
      </c>
      <c r="B3" s="14" t="inlineStr">
        <is>
          <t>Casillas de mail</t>
        </is>
      </c>
      <c r="C3" s="13" t="inlineStr">
        <is>
          <t>—</t>
        </is>
      </c>
      <c r="D3" s="13" t="inlineStr">
        <is>
          <t>trámites@ (trámites web y autorizaciones), reclamos@, jefes@, mails personales.</t>
        </is>
      </c>
      <c r="E3" s="13" t="inlineStr">
        <is>
          <t>Consultas particulares o pedidos de trámites no se responden por mail.</t>
        </is>
      </c>
      <c r="F3" s="13" t="inlineStr">
        <is>
          <t>Mail</t>
        </is>
      </c>
      <c r="G3" s="13" t="inlineStr"/>
      <c r="H3" s="13" t="inlineStr">
        <is>
          <t>PG 02 Correos</t>
        </is>
      </c>
      <c r="I3" s="15" t="n"/>
      <c r="J3" s="15" t="n"/>
      <c r="K3" s="15" t="n"/>
      <c r="L3" s="15" t="n"/>
    </row>
    <row r="4">
      <c r="A4" s="13" t="inlineStr">
        <is>
          <t>G03</t>
        </is>
      </c>
      <c r="B4" s="14" t="inlineStr">
        <is>
          <t>Control de deuda y financiación</t>
        </is>
      </c>
      <c r="C4" s="13" t="inlineStr">
        <is>
          <t>—</t>
        </is>
      </c>
      <c r="D4" s="13" t="inlineStr">
        <is>
          <t>Aviso a deudor y garante (mail o papel).</t>
        </is>
      </c>
      <c r="E4" s="13" t="inlineStr">
        <is>
          <t>A las 48 h: financiar, corte puntual o Veraz. Cuotas según importe, con tasa de interés.</t>
        </is>
      </c>
      <c r="F4" s="13" t="inlineStr">
        <is>
          <t>Interno</t>
        </is>
      </c>
      <c r="G4" s="13" t="inlineStr">
        <is>
          <t>Facturación; Gerencia Administrativa</t>
        </is>
      </c>
      <c r="H4" s="13" t="inlineStr">
        <is>
          <t>PG 02 §5.10</t>
        </is>
      </c>
      <c r="I4" s="15" t="n"/>
      <c r="J4" s="15" t="n"/>
      <c r="K4" s="15" t="n"/>
      <c r="L4" s="15" t="n"/>
    </row>
    <row r="5">
      <c r="A5" s="13" t="inlineStr">
        <is>
          <t>G04</t>
        </is>
      </c>
      <c r="B5" s="14" t="inlineStr">
        <is>
          <t>Facturación de cuotas de convenios de obras</t>
        </is>
      </c>
      <c r="C5" s="13" t="inlineStr">
        <is>
          <t>A CONFIRMAR: el PG dice que ya no lo hace Atención al Cliente.</t>
        </is>
      </c>
      <c r="D5" s="13" t="inlineStr">
        <is>
          <t>—</t>
        </is>
      </c>
      <c r="E5" s="13" t="inlineStr">
        <is>
          <t>Primeros días de cada mes.</t>
        </is>
      </c>
      <c r="F5" s="13" t="inlineStr">
        <is>
          <t>Interno</t>
        </is>
      </c>
      <c r="G5" s="13" t="inlineStr">
        <is>
          <t>Contaduría</t>
        </is>
      </c>
      <c r="H5" s="13" t="inlineStr">
        <is>
          <t>PG 02 §5.5 / IO 02.02 / IO 02.03</t>
        </is>
      </c>
      <c r="I5" s="15" t="n"/>
      <c r="J5" s="15" t="n"/>
      <c r="K5" s="15" t="n"/>
      <c r="L5" s="15" t="n"/>
    </row>
    <row r="6">
      <c r="A6" s="13" t="inlineStr">
        <is>
          <t>G05</t>
        </is>
      </c>
      <c r="B6" s="14" t="inlineStr">
        <is>
          <t>Padrones y distritos para asambleas</t>
        </is>
      </c>
      <c r="C6" s="13" t="inlineStr">
        <is>
          <t>Distrito de votación = distrito del servicio activo.</t>
        </is>
      </c>
      <c r="D6" s="13" t="inlineStr">
        <is>
          <t>—</t>
        </is>
      </c>
      <c r="E6" s="13" t="inlineStr">
        <is>
          <t>Control al 30/6. 1 delegado cada 200 asociados. Votan socios con 6 meses de antigüedad. 3 copias padrón general + 3 habilitados.</t>
        </is>
      </c>
      <c r="F6" s="13" t="inlineStr">
        <is>
          <t>Interno</t>
        </is>
      </c>
      <c r="G6" s="13" t="inlineStr">
        <is>
          <t>Sistemas; Secretaría (envía a Subsecretaría de Cooperativas e INAES)</t>
        </is>
      </c>
      <c r="H6" s="13" t="inlineStr">
        <is>
          <t>PG 02 §5.8</t>
        </is>
      </c>
      <c r="I6" s="15" t="n"/>
      <c r="J6" s="15" t="n"/>
      <c r="K6" s="15" t="n"/>
      <c r="L6" s="15" t="n"/>
    </row>
    <row r="7">
      <c r="A7" s="13" t="inlineStr">
        <is>
          <t>G06</t>
        </is>
      </c>
      <c r="B7" s="14" t="inlineStr">
        <is>
          <t>Libros de capitales</t>
        </is>
      </c>
      <c r="C7" s="13" t="inlineStr">
        <is>
          <t>Por servicio (energía, agua, teléfono) al 30/6.</t>
        </is>
      </c>
      <c r="D7" s="13" t="inlineStr">
        <is>
          <t>Hojas foliadas selladas por juez de paz.</t>
        </is>
      </c>
      <c r="E7" s="13" t="inlineStr">
        <is>
          <t>Se imprimen en julio.</t>
        </is>
      </c>
      <c r="F7" s="13" t="inlineStr">
        <is>
          <t>Interno</t>
        </is>
      </c>
      <c r="G7" s="13" t="inlineStr"/>
      <c r="H7" s="13" t="inlineStr">
        <is>
          <t>PG 02 §5.9</t>
        </is>
      </c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</sheetData>
  <autoFilter ref="A1:L17"/>
  <dataValidations count="1">
    <dataValidation sqref="I2:I17 J2:J17 K2:K17" showDropDown="0" showInputMessage="0" showErrorMessage="0" allowBlank="1" type="list">
      <formula1>"Vigente,Se hace distinto,No lo sabíamos,No aplica,A definir"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30" customWidth="1" min="4" max="4"/>
    <col width="24" customWidth="1" min="5" max="5"/>
    <col width="20" customWidth="1" min="6" max="6"/>
    <col width="34" customWidth="1" min="7" max="7"/>
    <col width="15" customWidth="1" min="8" max="8"/>
    <col width="15" customWidth="1" min="9" max="9"/>
    <col width="15" customWidth="1" min="10" max="10"/>
  </cols>
  <sheetData>
    <row r="1" ht="32" customHeight="1">
      <c r="A1" s="8" t="inlineStr">
        <is>
          <t>Tema</t>
        </is>
      </c>
      <c r="B1" s="8" t="inlineStr">
        <is>
          <t>Energía</t>
        </is>
      </c>
      <c r="C1" s="8" t="inlineStr">
        <is>
          <t>Agua</t>
        </is>
      </c>
      <c r="D1" s="8" t="inlineStr">
        <is>
          <t>TIC</t>
        </is>
      </c>
      <c r="E1" s="8" t="inlineStr">
        <is>
          <t>Movilcoop</t>
        </is>
      </c>
      <c r="F1" s="8" t="inlineStr">
        <is>
          <t>Servicios sociales</t>
        </is>
      </c>
      <c r="G1" s="8" t="inlineStr">
        <is>
          <t>Criterio único propuesto</t>
        </is>
      </c>
      <c r="H1" s="8" t="inlineStr">
        <is>
          <t>Validación Ventas</t>
        </is>
      </c>
      <c r="I1" s="8" t="inlineStr">
        <is>
          <t>Validación Call Center</t>
        </is>
      </c>
      <c r="J1" s="8" t="inlineStr">
        <is>
          <t>Validación Mesa de Informes</t>
        </is>
      </c>
    </row>
    <row r="2">
      <c r="A2" s="14" t="inlineStr">
        <is>
          <t>Garante</t>
        </is>
      </c>
      <c r="B2" s="13" t="inlineStr">
        <is>
          <t>Socio de la Cooperativa y propietario (según figuras; el texto solo dice socio).</t>
        </is>
      </c>
      <c r="C2" s="13" t="inlineStr">
        <is>
          <t>A confirmar si aplica (servicio a nombre del propietario).</t>
        </is>
      </c>
      <c r="D2" s="13" t="inlineStr">
        <is>
          <t>Teléfono/internet: cualquier asociado titular de energía. Inalámbrico: garante o 2 meses de abono adelantado.</t>
        </is>
      </c>
      <c r="E2" s="13" t="inlineStr">
        <is>
          <t>No aplica.</t>
        </is>
      </c>
      <c r="F2" s="13" t="inlineStr">
        <is>
          <t>No aplica.</t>
        </is>
      </c>
      <c r="G2" s="15" t="n"/>
      <c r="H2" s="15" t="n"/>
      <c r="I2" s="15" t="n"/>
      <c r="J2" s="15" t="n"/>
    </row>
    <row r="3">
      <c r="A3" s="14" t="inlineStr">
        <is>
          <t>Depósito en garantía</t>
        </is>
      </c>
      <c r="B3" s="13" t="inlineStr">
        <is>
          <t>Si no hay garante: 4 cuotas, la 1ª de contado. Se devuelve en la baja.</t>
        </is>
      </c>
      <c r="C3" s="13" t="inlineStr">
        <is>
          <t>A confirmar.</t>
        </is>
      </c>
      <c r="D3" s="13" t="inlineStr">
        <is>
          <t>Mencionado, sin monto ni forma de pago.</t>
        </is>
      </c>
      <c r="E3" s="13" t="inlineStr">
        <is>
          <t>No aplica.</t>
        </is>
      </c>
      <c r="F3" s="13" t="inlineStr">
        <is>
          <t>No aplica.</t>
        </is>
      </c>
      <c r="G3" s="15" t="n"/>
      <c r="H3" s="15" t="n"/>
      <c r="I3" s="15" t="n"/>
      <c r="J3" s="15" t="n"/>
    </row>
    <row r="4">
      <c r="A4" s="14" t="inlineStr">
        <is>
          <t>¿Hay que ser socio?</t>
        </is>
      </c>
      <c r="B4" s="13" t="inlineStr">
        <is>
          <t>No.</t>
        </is>
      </c>
      <c r="C4" s="13" t="inlineStr">
        <is>
          <t>Propietario.</t>
        </is>
      </c>
      <c r="D4" s="13" t="inlineStr">
        <is>
          <t>Fibra: sí o conectar teléfono antes. TV: sí + internet. Inalámbrico: no.</t>
        </is>
      </c>
      <c r="E4" s="13" t="inlineStr">
        <is>
          <t>Titular de la luz con 6 meses.</t>
        </is>
      </c>
      <c r="F4" s="13" t="inlineStr">
        <is>
          <t>Energía o agua activa.</t>
        </is>
      </c>
      <c r="G4" s="15" t="n"/>
      <c r="H4" s="15" t="n"/>
      <c r="I4" s="15" t="n"/>
      <c r="J4" s="15" t="n"/>
    </row>
    <row r="5">
      <c r="A5" s="14" t="inlineStr">
        <is>
          <t>Reconexión con corte &gt; 30 días</t>
        </is>
      </c>
      <c r="B5" s="13" t="inlineStr">
        <is>
          <t>Titular o autorización del titular. Si retiraron medidor: certificado apto + inspección.</t>
        </is>
      </c>
      <c r="C5" s="13" t="inlineStr">
        <is>
          <t>Sin desarrollar.</t>
        </is>
      </c>
      <c r="D5" s="13" t="inlineStr">
        <is>
          <t>Titular o autorización del titular.</t>
        </is>
      </c>
      <c r="E5" s="13" t="inlineStr">
        <is>
          <t>Solo suspendidas por falta de pago.</t>
        </is>
      </c>
      <c r="F5" s="13" t="inlineStr">
        <is>
          <t>—</t>
        </is>
      </c>
      <c r="G5" s="15" t="n"/>
      <c r="H5" s="15" t="n"/>
      <c r="I5" s="15" t="n"/>
      <c r="J5" s="15" t="n"/>
    </row>
    <row r="6">
      <c r="A6" s="14" t="inlineStr">
        <is>
          <t>Canales de reconexión</t>
        </is>
      </c>
      <c r="B6" s="13" t="inlineStr">
        <is>
          <t>Presencial; pedidos de caja por WhatsApp.</t>
        </is>
      </c>
      <c r="C6" s="13" t="inlineStr">
        <is>
          <t>Presencial / Web.</t>
        </is>
      </c>
      <c r="D6" s="13" t="inlineStr">
        <is>
          <t>Presencial / Web / Caja automática.</t>
        </is>
      </c>
      <c r="E6" s="13" t="inlineStr">
        <is>
          <t>Presencial.</t>
        </is>
      </c>
      <c r="F6" s="13" t="inlineStr">
        <is>
          <t>—</t>
        </is>
      </c>
      <c r="G6" s="15" t="n"/>
      <c r="H6" s="15" t="n"/>
      <c r="I6" s="15" t="n"/>
      <c r="J6" s="15" t="n"/>
    </row>
    <row r="7">
      <c r="A7" s="14" t="inlineStr">
        <is>
          <t>Baja</t>
        </is>
      </c>
      <c r="B7" s="13" t="inlineStr">
        <is>
          <t>Titular. Toma de lectura previa y reintegro de depósito.</t>
        </is>
      </c>
      <c r="C7" s="13" t="inlineStr">
        <is>
          <t>Titular + DJ vivienda libre de ocupantes.</t>
        </is>
      </c>
      <c r="D7" s="13" t="inlineStr">
        <is>
          <t>Titular + devolución de equipos en comodato.</t>
        </is>
      </c>
      <c r="E7" s="13" t="inlineStr">
        <is>
          <t>1 año mínimo; sin deuda; del 1 al 15.</t>
        </is>
      </c>
      <c r="F7" s="13" t="inlineStr">
        <is>
          <t>Titular, planilla por servicio.</t>
        </is>
      </c>
      <c r="G7" s="15" t="n"/>
      <c r="H7" s="15" t="n"/>
      <c r="I7" s="15" t="n"/>
      <c r="J7" s="15" t="n"/>
    </row>
    <row r="8">
      <c r="A8" s="14" t="inlineStr">
        <is>
          <t>Cambio de titularidad</t>
        </is>
      </c>
      <c r="B8" s="13" t="inlineStr">
        <is>
          <t>Inquilinos, inquilino↔propietario, fallecimiento. Ambas partes.</t>
        </is>
      </c>
      <c r="C8" s="13" t="inlineStr">
        <is>
          <t>Solo fallecimiento o compra.</t>
        </is>
      </c>
      <c r="D8" s="13" t="inlineStr">
        <is>
          <t>Cambio de inquilino, fallecimiento o necesidad.</t>
        </is>
      </c>
      <c r="E8" s="13" t="inlineStr">
        <is>
          <t>Transferencia: ambas partes, nuevo titular con energía. Sin costo.</t>
        </is>
      </c>
      <c r="F8" s="13" t="inlineStr">
        <is>
          <t>—</t>
        </is>
      </c>
      <c r="G8" s="15" t="n"/>
      <c r="H8" s="15" t="n"/>
      <c r="I8" s="15" t="n"/>
      <c r="J8" s="15" t="n"/>
    </row>
    <row r="9">
      <c r="A9" s="14" t="inlineStr">
        <is>
          <t>Traslado</t>
        </is>
      </c>
      <c r="B9" s="13" t="inlineStr">
        <is>
          <t>Sin deuda, disponibilidad técnica; inquilino: contrato + renovar garantía; propietario: escritura.</t>
        </is>
      </c>
      <c r="C9" s="13" t="inlineStr">
        <is>
          <t>No existe.</t>
        </is>
      </c>
      <c r="D9" s="13" t="inlineStr">
        <is>
          <t>Igual que energía. Cambio de localidad = nuevo número.</t>
        </is>
      </c>
      <c r="E9" s="13" t="inlineStr">
        <is>
          <t>—</t>
        </is>
      </c>
      <c r="F9" s="13" t="inlineStr">
        <is>
          <t>—</t>
        </is>
      </c>
      <c r="G9" s="15" t="n"/>
      <c r="H9" s="15" t="n"/>
      <c r="I9" s="15" t="n"/>
      <c r="J9" s="15" t="n"/>
    </row>
    <row r="10">
      <c r="A10" s="14" t="inlineStr">
        <is>
          <t>Quién factura / cobra</t>
        </is>
      </c>
      <c r="B10" s="13" t="inlineStr">
        <is>
          <t>Ventas factura el trámite.</t>
        </is>
      </c>
      <c r="C10" s="13" t="inlineStr">
        <is>
          <t>Ventas factura el trámite.</t>
        </is>
      </c>
      <c r="D10" s="13" t="inlineStr">
        <is>
          <t>Ventas; reconexión automática en caja.</t>
        </is>
      </c>
      <c r="E10" s="13" t="inlineStr">
        <is>
          <t>Equipos: Depósito.</t>
        </is>
      </c>
      <c r="F10" s="13" t="inlineStr">
        <is>
          <t>Sepelio: inscripción por ventas varias.</t>
        </is>
      </c>
      <c r="G10" s="15" t="n"/>
      <c r="H10" s="15" t="n"/>
      <c r="I10" s="15" t="n"/>
      <c r="J10" s="15" t="n"/>
    </row>
  </sheetData>
  <dataValidations count="1">
    <dataValidation sqref="H2:J10" showDropDown="0" showInputMessage="0" showErrorMessage="0" allowBlank="1" type="list">
      <formula1>"Vigente,Se hace distinto,No lo sabíamos,No aplica,A definir"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28" customWidth="1" min="4" max="4"/>
    <col width="60" customWidth="1" min="5" max="5"/>
    <col width="18" customWidth="1" min="6" max="6"/>
    <col width="18" customWidth="1" min="7" max="7"/>
    <col width="14" customWidth="1" min="8" max="8"/>
    <col width="40" customWidth="1" min="9" max="9"/>
  </cols>
  <sheetData>
    <row r="1" ht="28" customHeight="1">
      <c r="A1" s="8" t="inlineStr">
        <is>
          <t>N°</t>
        </is>
      </c>
      <c r="B1" s="8" t="inlineStr">
        <is>
          <t>Servicio</t>
        </is>
      </c>
      <c r="C1" s="8" t="inlineStr">
        <is>
          <t>Tipo</t>
        </is>
      </c>
      <c r="D1" s="8" t="inlineStr">
        <is>
          <t>Tema</t>
        </is>
      </c>
      <c r="E1" s="8" t="inlineStr">
        <is>
          <t>Detalle</t>
        </is>
      </c>
      <c r="F1" s="8" t="inlineStr">
        <is>
          <t>Fuente</t>
        </is>
      </c>
      <c r="G1" s="8" t="inlineStr">
        <is>
          <t>Quién define</t>
        </is>
      </c>
      <c r="H1" s="8" t="inlineStr">
        <is>
          <t>Estado</t>
        </is>
      </c>
      <c r="I1" s="8" t="inlineStr">
        <is>
          <t>Resolución</t>
        </is>
      </c>
    </row>
    <row r="2">
      <c r="A2" s="13" t="n">
        <v>1</v>
      </c>
      <c r="B2" s="13" t="inlineStr">
        <is>
          <t>Energía</t>
        </is>
      </c>
      <c r="C2" s="13" t="inlineStr">
        <is>
          <t>Sin desarrollar</t>
        </is>
      </c>
      <c r="D2" s="14" t="inlineStr">
        <is>
          <t>Financiaciones</t>
        </is>
      </c>
      <c r="E2" s="13" t="inlineStr">
        <is>
          <t>Punto 5.1.7 vacío ('falta desarrollar algo Patri').</t>
        </is>
      </c>
      <c r="F2" s="13" t="inlineStr">
        <is>
          <t>IO 02.01 §5.1.7</t>
        </is>
      </c>
      <c r="G2" s="15" t="n"/>
      <c r="H2" s="15" t="inlineStr">
        <is>
          <t>Abierto</t>
        </is>
      </c>
      <c r="I2" s="15" t="n"/>
    </row>
    <row r="3">
      <c r="A3" s="13" t="n">
        <v>2</v>
      </c>
      <c r="B3" s="13" t="inlineStr">
        <is>
          <t>Energía</t>
        </is>
      </c>
      <c r="C3" s="13" t="inlineStr">
        <is>
          <t>Sin desarrollar</t>
        </is>
      </c>
      <c r="D3" s="14" t="inlineStr">
        <is>
          <t>Prórrogas</t>
        </is>
      </c>
      <c r="E3" s="13" t="inlineStr">
        <is>
          <t>Punto 5.1.8 vacío.</t>
        </is>
      </c>
      <c r="F3" s="13" t="inlineStr">
        <is>
          <t>IO 02.01 §5.1.8</t>
        </is>
      </c>
      <c r="G3" s="15" t="n"/>
      <c r="H3" s="15" t="inlineStr">
        <is>
          <t>Abierto</t>
        </is>
      </c>
      <c r="I3" s="15" t="n"/>
    </row>
    <row r="4">
      <c r="A4" s="13" t="n">
        <v>3</v>
      </c>
      <c r="B4" s="13" t="inlineStr">
        <is>
          <t>Energía</t>
        </is>
      </c>
      <c r="C4" s="13" t="inlineStr">
        <is>
          <t>Sin desarrollar</t>
        </is>
      </c>
      <c r="D4" s="14" t="inlineStr">
        <is>
          <t>Certificado conexión nueva vs existente</t>
        </is>
      </c>
      <c r="E4" s="13" t="inlineStr">
        <is>
          <t>Dice 'se diferencia por xxxx (desarrolla Patri)'.</t>
        </is>
      </c>
      <c r="F4" s="13" t="inlineStr">
        <is>
          <t>IO 02.01 §5.1.1</t>
        </is>
      </c>
      <c r="G4" s="15" t="n"/>
      <c r="H4" s="15" t="inlineStr">
        <is>
          <t>Abierto</t>
        </is>
      </c>
      <c r="I4" s="15" t="n"/>
    </row>
    <row r="5">
      <c r="A5" s="13" t="n">
        <v>4</v>
      </c>
      <c r="B5" s="13" t="inlineStr">
        <is>
          <t>Energía</t>
        </is>
      </c>
      <c r="C5" s="13" t="inlineStr">
        <is>
          <t>Contradicción</t>
        </is>
      </c>
      <c r="D5" s="14" t="inlineStr">
        <is>
          <t>Requisitos del garante</t>
        </is>
      </c>
      <c r="E5" s="13" t="inlineStr">
        <is>
          <t>Texto: socio. Figuras: socio y propietario.</t>
        </is>
      </c>
      <c r="F5" s="13" t="inlineStr">
        <is>
          <t>IO 02.01 §5.1.1 / Fig. 1-2</t>
        </is>
      </c>
      <c r="G5" s="15" t="n"/>
      <c r="H5" s="15" t="inlineStr">
        <is>
          <t>Abierto</t>
        </is>
      </c>
      <c r="I5" s="15" t="n"/>
    </row>
    <row r="6">
      <c r="A6" s="13" t="n">
        <v>5</v>
      </c>
      <c r="B6" s="13" t="inlineStr">
        <is>
          <t>Energía</t>
        </is>
      </c>
      <c r="C6" s="13" t="inlineStr">
        <is>
          <t>Contradicción</t>
        </is>
      </c>
      <c r="D6" s="14" t="inlineStr">
        <is>
          <t>Vigencia del certificado apto</t>
        </is>
      </c>
      <c r="E6" s="13" t="inlineStr">
        <is>
          <t>En un punto 4 casos (5/3/2/1 años), en otro solo vivienda 5 y comercio 3.</t>
        </is>
      </c>
      <c r="F6" s="13" t="inlineStr">
        <is>
          <t>IO 02.01 §5.1.1</t>
        </is>
      </c>
      <c r="G6" s="15" t="n"/>
      <c r="H6" s="15" t="inlineStr">
        <is>
          <t>Abierto</t>
        </is>
      </c>
      <c r="I6" s="15" t="n"/>
    </row>
    <row r="7">
      <c r="A7" s="13" t="n">
        <v>6</v>
      </c>
      <c r="B7" s="13" t="inlineStr">
        <is>
          <t>Energía</t>
        </is>
      </c>
      <c r="C7" s="13" t="inlineStr">
        <is>
          <t>Contradicción</t>
        </is>
      </c>
      <c r="D7" s="14" t="inlineStr">
        <is>
          <t>Figuras de requisitos</t>
        </is>
      </c>
      <c r="E7" s="13" t="inlineStr">
        <is>
          <t>Monofásica propietario sin foto firmada (trifásica sí); 'Escritura copia' en trifásica inquilino; numeración repetida; no queda claro si ARCA/IIBB es solo comercio.</t>
        </is>
      </c>
      <c r="F7" s="13" t="inlineStr">
        <is>
          <t>IO 02.01 Fig. 1-2</t>
        </is>
      </c>
      <c r="G7" s="15" t="n"/>
      <c r="H7" s="15" t="inlineStr">
        <is>
          <t>Abierto</t>
        </is>
      </c>
      <c r="I7" s="15" t="n"/>
    </row>
    <row r="8">
      <c r="A8" s="13" t="n">
        <v>7</v>
      </c>
      <c r="B8" s="13" t="inlineStr">
        <is>
          <t>Energía</t>
        </is>
      </c>
      <c r="C8" s="13" t="inlineStr">
        <is>
          <t>A confirmar</t>
        </is>
      </c>
      <c r="D8" s="14" t="inlineStr">
        <is>
          <t>Tarifas y opciones del sistema</t>
        </is>
      </c>
      <c r="E8" s="13" t="inlineStr">
        <is>
          <t>Hay opciones que ya no se usan (quedó para ver con Ricardo).</t>
        </is>
      </c>
      <c r="F8" s="13" t="inlineStr">
        <is>
          <t>IO 02.01 §5.1.1</t>
        </is>
      </c>
      <c r="G8" s="15" t="n"/>
      <c r="H8" s="15" t="inlineStr">
        <is>
          <t>Abierto</t>
        </is>
      </c>
      <c r="I8" s="15" t="n"/>
    </row>
    <row r="9">
      <c r="A9" s="13" t="n">
        <v>8</v>
      </c>
      <c r="B9" s="13" t="inlineStr">
        <is>
          <t>Energía</t>
        </is>
      </c>
      <c r="C9" s="13" t="inlineStr">
        <is>
          <t>A confirmar</t>
        </is>
      </c>
      <c r="D9" s="14" t="inlineStr">
        <is>
          <t>Pilares hasta 5 kVA</t>
        </is>
      </c>
      <c r="E9" s="13" t="inlineStr">
        <is>
          <t>Quedó para ver con Juan o Gino; el texto dice '5 WK'.</t>
        </is>
      </c>
      <c r="F9" s="13" t="inlineStr">
        <is>
          <t>IO 02.01 §5.1.1</t>
        </is>
      </c>
      <c r="G9" s="15" t="n"/>
      <c r="H9" s="15" t="inlineStr">
        <is>
          <t>Abierto</t>
        </is>
      </c>
      <c r="I9" s="15" t="n"/>
    </row>
    <row r="10">
      <c r="A10" s="13" t="n">
        <v>9</v>
      </c>
      <c r="B10" s="13" t="inlineStr">
        <is>
          <t>Energía</t>
        </is>
      </c>
      <c r="C10" s="13" t="inlineStr">
        <is>
          <t>A confirmar</t>
        </is>
      </c>
      <c r="D10" s="14" t="inlineStr">
        <is>
          <t>Canal WhatsApp 'Teletrabajo'</t>
        </is>
      </c>
      <c r="E10" s="13" t="inlineStr">
        <is>
          <t>El texto dice 'se trataba': ¿sigue vigente para reconexiones y quita de cepo?</t>
        </is>
      </c>
      <c r="F10" s="13" t="inlineStr">
        <is>
          <t>IO 02.01 §5.1.2</t>
        </is>
      </c>
      <c r="G10" s="15" t="n"/>
      <c r="H10" s="15" t="inlineStr">
        <is>
          <t>Abierto</t>
        </is>
      </c>
      <c r="I10" s="15" t="n"/>
    </row>
    <row r="11">
      <c r="A11" s="13" t="n">
        <v>10</v>
      </c>
      <c r="B11" s="13" t="inlineStr">
        <is>
          <t>Energía</t>
        </is>
      </c>
      <c r="C11" s="13" t="inlineStr">
        <is>
          <t>A confirmar</t>
        </is>
      </c>
      <c r="D11" s="14" t="inlineStr">
        <is>
          <t>Certificado en traslados</t>
        </is>
      </c>
      <c r="E11" s="13" t="inlineStr">
        <is>
          <t>En el traslado no se menciona el certificado apto.</t>
        </is>
      </c>
      <c r="F11" s="13" t="inlineStr">
        <is>
          <t>IO 02.01 §5.1.5</t>
        </is>
      </c>
      <c r="G11" s="15" t="n"/>
      <c r="H11" s="15" t="inlineStr">
        <is>
          <t>Abierto</t>
        </is>
      </c>
      <c r="I11" s="15" t="n"/>
    </row>
    <row r="12">
      <c r="A12" s="13" t="n">
        <v>11</v>
      </c>
      <c r="B12" s="13" t="inlineStr">
        <is>
          <t>Energía</t>
        </is>
      </c>
      <c r="C12" s="13" t="inlineStr">
        <is>
          <t>Error de forma</t>
        </is>
      </c>
      <c r="D12" s="14" t="inlineStr">
        <is>
          <t>Anexos y registros</t>
        </is>
      </c>
      <c r="E12" s="13" t="inlineStr">
        <is>
          <t>Legislación como Anexo X y IX; faltan anexos IV y V; RPG 02.01 vs RIO 02.01; mail 'tramites*coop5'.</t>
        </is>
      </c>
      <c r="F12" s="13" t="inlineStr">
        <is>
          <t>IO 02.01</t>
        </is>
      </c>
      <c r="G12" s="15" t="n"/>
      <c r="H12" s="15" t="inlineStr">
        <is>
          <t>Abierto</t>
        </is>
      </c>
      <c r="I12" s="15" t="n"/>
    </row>
    <row r="13">
      <c r="A13" s="13" t="n">
        <v>12</v>
      </c>
      <c r="B13" s="13" t="inlineStr">
        <is>
          <t>Agua</t>
        </is>
      </c>
      <c r="C13" s="13" t="inlineStr">
        <is>
          <t>Contradicción</t>
        </is>
      </c>
      <c r="D13" s="14" t="inlineStr">
        <is>
          <t>Inquilinos y garante</t>
        </is>
      </c>
      <c r="E13" s="13" t="inlineStr">
        <is>
          <t>Pide garante si es inquilino, pero el servicio va siempre a nombre del propietario; la figura solo tiene columna propietario.</t>
        </is>
      </c>
      <c r="F13" s="13" t="inlineStr">
        <is>
          <t>IO 02.02 §5.2 / §5.2.5</t>
        </is>
      </c>
      <c r="G13" s="15" t="n"/>
      <c r="H13" s="15" t="inlineStr">
        <is>
          <t>Abierto</t>
        </is>
      </c>
      <c r="I13" s="15" t="n"/>
    </row>
    <row r="14">
      <c r="A14" s="13" t="n">
        <v>13</v>
      </c>
      <c r="B14" s="13" t="inlineStr">
        <is>
          <t>Agua</t>
        </is>
      </c>
      <c r="C14" s="13" t="inlineStr">
        <is>
          <t>Sin desarrollar</t>
        </is>
      </c>
      <c r="D14" s="14" t="inlineStr">
        <is>
          <t>Reconexión (quita de cepo)</t>
        </is>
      </c>
      <c r="E14" s="13" t="inlineStr">
        <is>
          <t>'Patri: falta desarrollar'.</t>
        </is>
      </c>
      <c r="F14" s="13" t="inlineStr">
        <is>
          <t>IO 02.02 §5.2.3</t>
        </is>
      </c>
      <c r="G14" s="15" t="n"/>
      <c r="H14" s="15" t="inlineStr">
        <is>
          <t>Abierto</t>
        </is>
      </c>
      <c r="I14" s="15" t="n"/>
    </row>
    <row r="15">
      <c r="A15" s="13" t="n">
        <v>14</v>
      </c>
      <c r="B15" s="13" t="inlineStr">
        <is>
          <t>TIC</t>
        </is>
      </c>
      <c r="C15" s="13" t="inlineStr">
        <is>
          <t>Sin desarrollar</t>
        </is>
      </c>
      <c r="D15" s="14" t="inlineStr">
        <is>
          <t>Corte de TV</t>
        </is>
      </c>
      <c r="E15" s="13" t="inlineStr">
        <is>
          <t>Dice 'falta'.</t>
        </is>
      </c>
      <c r="F15" s="13" t="inlineStr">
        <is>
          <t>IO 02.03 §5.3.4</t>
        </is>
      </c>
      <c r="G15" s="15" t="n"/>
      <c r="H15" s="15" t="inlineStr">
        <is>
          <t>Abierto</t>
        </is>
      </c>
      <c r="I15" s="15" t="n"/>
    </row>
    <row r="16">
      <c r="A16" s="13" t="n">
        <v>15</v>
      </c>
      <c r="B16" s="13" t="inlineStr">
        <is>
          <t>TIC</t>
        </is>
      </c>
      <c r="C16" s="13" t="inlineStr">
        <is>
          <t>A confirmar</t>
        </is>
      </c>
      <c r="D16" s="14" t="inlineStr">
        <is>
          <t>Monto del depósito en garantía</t>
        </is>
      </c>
      <c r="E16" s="13" t="inlineStr">
        <is>
          <t>Se menciona pero no se indica monto ni forma de pago.</t>
        </is>
      </c>
      <c r="F16" s="13" t="inlineStr">
        <is>
          <t>IO 02.03 §5.1.1</t>
        </is>
      </c>
      <c r="G16" s="15" t="n"/>
      <c r="H16" s="15" t="inlineStr">
        <is>
          <t>Abierto</t>
        </is>
      </c>
      <c r="I16" s="15" t="n"/>
    </row>
    <row r="17">
      <c r="A17" s="13" t="n">
        <v>16</v>
      </c>
      <c r="B17" s="13" t="inlineStr">
        <is>
          <t>General</t>
        </is>
      </c>
      <c r="C17" s="13" t="inlineStr">
        <is>
          <t>Contradicción</t>
        </is>
      </c>
      <c r="D17" s="14" t="inlineStr">
        <is>
          <t>Cuotas de convenios de obras</t>
        </is>
      </c>
      <c r="E17" s="13" t="inlineStr">
        <is>
          <t>PG: ya no lo hace Atención al Cliente. IO agua y TIC: lo siguen incluyendo.</t>
        </is>
      </c>
      <c r="F17" s="13" t="inlineStr">
        <is>
          <t>PG 02 §5.5 / IO 02.02 / IO 02.03</t>
        </is>
      </c>
      <c r="G17" s="15" t="n"/>
      <c r="H17" s="15" t="inlineStr">
        <is>
          <t>Abierto</t>
        </is>
      </c>
      <c r="I17" s="15" t="n"/>
    </row>
    <row r="18">
      <c r="A18" s="13" t="n">
        <v>17</v>
      </c>
      <c r="B18" s="13" t="inlineStr">
        <is>
          <t>Otros servicios</t>
        </is>
      </c>
      <c r="C18" s="13" t="inlineStr">
        <is>
          <t>Contradicción</t>
        </is>
      </c>
      <c r="D18" s="14" t="inlineStr">
        <is>
          <t>Banco de Sangre</t>
        </is>
      </c>
      <c r="E18" s="13" t="inlineStr">
        <is>
          <t>Un punto dice que lo gestiona Ventas; otro que altas y bajas se hacen en el Banco de Sangre.</t>
        </is>
      </c>
      <c r="F18" s="13" t="inlineStr">
        <is>
          <t>PG 02 §5.7.3</t>
        </is>
      </c>
      <c r="G18" s="15" t="n"/>
      <c r="H18" s="15" t="inlineStr">
        <is>
          <t>Abierto</t>
        </is>
      </c>
      <c r="I18" s="15" t="n"/>
    </row>
    <row r="19">
      <c r="A19" s="13" t="n">
        <v>18</v>
      </c>
      <c r="B19" s="13" t="inlineStr">
        <is>
          <t>Otros servicios</t>
        </is>
      </c>
      <c r="C19" s="13" t="inlineStr">
        <is>
          <t>Contradicción</t>
        </is>
      </c>
      <c r="D19" s="14" t="inlineStr">
        <is>
          <t>APROSS altas</t>
        </is>
      </c>
      <c r="E19" s="13" t="inlineStr">
        <is>
          <t>Dice que no se toman altas, pero sí afiliaciones por continuidad y recién nacido.</t>
        </is>
      </c>
      <c r="F19" s="13" t="inlineStr">
        <is>
          <t>PG 02 §5.5</t>
        </is>
      </c>
      <c r="G19" s="15" t="n"/>
      <c r="H19" s="15" t="inlineStr">
        <is>
          <t>Abierto</t>
        </is>
      </c>
      <c r="I19" s="15" t="n"/>
    </row>
    <row r="20">
      <c r="A20" s="13" t="n">
        <v>19</v>
      </c>
      <c r="B20" s="13" t="inlineStr">
        <is>
          <t>Movilcoop</t>
        </is>
      </c>
      <c r="C20" s="13" t="inlineStr">
        <is>
          <t>Sin desarrollar</t>
        </is>
      </c>
      <c r="D20" s="14" t="inlineStr">
        <is>
          <t>Planillas de Claro</t>
        </is>
      </c>
      <c r="E20" s="13" t="inlineStr">
        <is>
          <t>El anexo 'Planillas de Claro' está vacío.</t>
        </is>
      </c>
      <c r="F20" s="13" t="inlineStr">
        <is>
          <t>PG 02 Anexos</t>
        </is>
      </c>
      <c r="G20" s="15" t="n"/>
      <c r="H20" s="15" t="inlineStr">
        <is>
          <t>Abierto</t>
        </is>
      </c>
      <c r="I20" s="15" t="n"/>
    </row>
    <row r="21">
      <c r="A21" s="13" t="n">
        <v>20</v>
      </c>
      <c r="B21" s="13" t="inlineStr">
        <is>
          <t>General</t>
        </is>
      </c>
      <c r="C21" s="13" t="inlineStr">
        <is>
          <t>Error de forma</t>
        </is>
      </c>
      <c r="D21" s="14" t="inlineStr">
        <is>
          <t>Alcance del PG</t>
        </is>
      </c>
      <c r="E21" s="13" t="inlineStr">
        <is>
          <t>En agua y TIC dice 'traslados de energía' (copiado de energía).</t>
        </is>
      </c>
      <c r="F21" s="13" t="inlineStr">
        <is>
          <t>PG 02 §5.2 / §5.3</t>
        </is>
      </c>
      <c r="G21" s="15" t="n"/>
      <c r="H21" s="15" t="inlineStr">
        <is>
          <t>Abierto</t>
        </is>
      </c>
      <c r="I21" s="15" t="n"/>
    </row>
    <row r="22">
      <c r="A22" s="13" t="n">
        <v>21</v>
      </c>
      <c r="B22" s="13" t="inlineStr">
        <is>
          <t>General</t>
        </is>
      </c>
      <c r="C22" s="13" t="inlineStr">
        <is>
          <t>Error de forma</t>
        </is>
      </c>
      <c r="D22" s="14" t="inlineStr">
        <is>
          <t>Numeración del PG</t>
        </is>
      </c>
      <c r="E22" s="13" t="inlineStr">
        <is>
          <t>5.8.3 dentro del 5.6; 5.6.1 repetido; falta título 5.7.1.</t>
        </is>
      </c>
      <c r="F22" s="13" t="inlineStr">
        <is>
          <t>PG 02</t>
        </is>
      </c>
      <c r="G22" s="15" t="n"/>
      <c r="H22" s="15" t="inlineStr">
        <is>
          <t>Abierto</t>
        </is>
      </c>
      <c r="I22" s="15" t="n"/>
    </row>
    <row r="23">
      <c r="A23" s="13" t="n">
        <v>22</v>
      </c>
      <c r="B23" s="13" t="inlineStr">
        <is>
          <t>General</t>
        </is>
      </c>
      <c r="C23" s="13" t="inlineStr">
        <is>
          <t>Error de forma</t>
        </is>
      </c>
      <c r="D23" s="14" t="inlineStr">
        <is>
          <t>Direcciones de mail</t>
        </is>
      </c>
      <c r="E23" s="13" t="inlineStr">
        <is>
          <t>reclamos@coop.com (sin '5') y tramites@coop5.com (sin '.ar').</t>
        </is>
      </c>
      <c r="F23" s="13" t="inlineStr">
        <is>
          <t>PG 02 Correos</t>
        </is>
      </c>
      <c r="G23" s="15" t="n"/>
      <c r="H23" s="15" t="inlineStr">
        <is>
          <t>Abierto</t>
        </is>
      </c>
      <c r="I23" s="15" t="n"/>
    </row>
    <row r="24">
      <c r="A24" s="13" t="n">
        <v>23</v>
      </c>
      <c r="B24" s="13" t="inlineStr">
        <is>
          <t>General</t>
        </is>
      </c>
      <c r="C24" s="13" t="inlineStr">
        <is>
          <t>Mejora</t>
        </is>
      </c>
      <c r="D24" s="14" t="inlineStr">
        <is>
          <t>Nombres propios</t>
        </is>
      </c>
      <c r="E24" s="13" t="inlineStr">
        <is>
          <t>Reemplazar nombres (Franco, Patricia, Martín, Agustina, Mauricio, Ricardo, Juan) por puesto o sector.</t>
        </is>
      </c>
      <c r="F24" s="13" t="inlineStr">
        <is>
          <t>Todos</t>
        </is>
      </c>
      <c r="G24" s="15" t="n"/>
      <c r="H24" s="15" t="inlineStr">
        <is>
          <t>Abierto</t>
        </is>
      </c>
      <c r="I24" s="15" t="n"/>
    </row>
    <row r="25">
      <c r="A25" s="13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3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3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3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3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3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3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3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3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3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3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3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3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3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3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3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3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3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3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3" t="n"/>
      <c r="B44" s="15" t="n"/>
      <c r="C44" s="15" t="n"/>
      <c r="D44" s="15" t="n"/>
      <c r="E44" s="15" t="n"/>
      <c r="F44" s="15" t="n"/>
      <c r="G44" s="15" t="n"/>
      <c r="H44" s="15" t="n"/>
      <c r="I44" s="15" t="n"/>
    </row>
  </sheetData>
  <autoFilter ref="A1:I44"/>
  <dataValidations count="1">
    <dataValidation sqref="H2:H44" showDropDown="0" showInputMessage="0" showErrorMessage="0" allowBlank="1" type="list">
      <formula1>"Abierto,En revisión,Resuelto"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2026-09-25T16:14:10Z</dcterms:created>
  <dcterms:modified xsi:type="dcterms:W3CDTF">2026-09-25T16:14:10Z</dcterms:modified>
</cp:coreProperties>
</file>